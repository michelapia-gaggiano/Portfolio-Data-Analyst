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 255\Desktop\Master Data Analyst\Corso 2 - Tecniche avanzate di Analisi Dati Excel\Progetto 2\"/>
    </mc:Choice>
  </mc:AlternateContent>
  <xr:revisionPtr revIDLastSave="0" documentId="13_ncr:1_{98842FF9-4983-44B5-9CFF-0F546F21A72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y trades" sheetId="1" r:id="rId1"/>
    <sheet name="Stock exchanges" sheetId="6" r:id="rId2"/>
    <sheet name="Profit insights" sheetId="7" r:id="rId3"/>
    <sheet name="Number of trades exchanged" sheetId="8" r:id="rId4"/>
  </sheet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7" l="1" a="1"/>
  <c r="Q8" i="7" s="1"/>
  <c r="P25" i="7"/>
  <c r="P26" i="7"/>
  <c r="P27" i="7"/>
  <c r="P21" i="7"/>
  <c r="P22" i="7"/>
  <c r="P23" i="7"/>
  <c r="P24" i="7"/>
  <c r="P9" i="7"/>
  <c r="P10" i="7"/>
  <c r="P11" i="7"/>
  <c r="P12" i="7"/>
  <c r="P13" i="7"/>
  <c r="P14" i="7"/>
  <c r="P15" i="7"/>
  <c r="P16" i="7"/>
  <c r="P17" i="7"/>
  <c r="P18" i="7"/>
  <c r="P19" i="7"/>
  <c r="P20" i="7"/>
  <c r="P8" i="7"/>
  <c r="O10" i="7"/>
  <c r="O11" i="7"/>
  <c r="O12" i="7"/>
  <c r="O13" i="7"/>
  <c r="O14" i="7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9" i="7"/>
  <c r="O8" i="7"/>
  <c r="O5" i="7"/>
  <c r="O3" i="7"/>
  <c r="O2" i="7"/>
  <c r="O5" i="8"/>
  <c r="O4" i="8"/>
  <c r="M20" i="8" l="1"/>
  <c r="D20" i="8"/>
  <c r="E20" i="8"/>
  <c r="F20" i="8"/>
  <c r="G20" i="8"/>
  <c r="H20" i="8"/>
  <c r="I20" i="8"/>
  <c r="J20" i="8"/>
  <c r="K20" i="8"/>
  <c r="L20" i="8"/>
  <c r="C20" i="8"/>
  <c r="D19" i="8"/>
  <c r="E19" i="8"/>
  <c r="F19" i="8"/>
  <c r="G19" i="8"/>
  <c r="H19" i="8"/>
  <c r="I19" i="8"/>
  <c r="J19" i="8"/>
  <c r="K19" i="8"/>
  <c r="L19" i="8"/>
  <c r="D18" i="8"/>
  <c r="E18" i="8"/>
  <c r="F18" i="8"/>
  <c r="G18" i="8"/>
  <c r="H18" i="8"/>
  <c r="I18" i="8"/>
  <c r="J18" i="8"/>
  <c r="K18" i="8"/>
  <c r="L18" i="8"/>
  <c r="D17" i="8"/>
  <c r="E17" i="8"/>
  <c r="F17" i="8"/>
  <c r="G17" i="8"/>
  <c r="H17" i="8"/>
  <c r="I17" i="8"/>
  <c r="J17" i="8"/>
  <c r="K17" i="8"/>
  <c r="M17" i="8" s="1"/>
  <c r="L17" i="8"/>
  <c r="D16" i="8"/>
  <c r="E16" i="8"/>
  <c r="F16" i="8"/>
  <c r="G16" i="8"/>
  <c r="H16" i="8"/>
  <c r="I16" i="8"/>
  <c r="J16" i="8"/>
  <c r="K16" i="8"/>
  <c r="L16" i="8"/>
  <c r="D15" i="8"/>
  <c r="E15" i="8"/>
  <c r="F15" i="8"/>
  <c r="G15" i="8"/>
  <c r="H15" i="8"/>
  <c r="I15" i="8"/>
  <c r="J15" i="8"/>
  <c r="K15" i="8"/>
  <c r="L15" i="8"/>
  <c r="D14" i="8"/>
  <c r="E14" i="8"/>
  <c r="F14" i="8"/>
  <c r="G14" i="8"/>
  <c r="H14" i="8"/>
  <c r="I14" i="8"/>
  <c r="J14" i="8"/>
  <c r="K14" i="8"/>
  <c r="L14" i="8"/>
  <c r="D13" i="8"/>
  <c r="E13" i="8"/>
  <c r="F13" i="8"/>
  <c r="G13" i="8"/>
  <c r="H13" i="8"/>
  <c r="I13" i="8"/>
  <c r="J13" i="8"/>
  <c r="K13" i="8"/>
  <c r="L13" i="8"/>
  <c r="D12" i="8"/>
  <c r="E12" i="8"/>
  <c r="F12" i="8"/>
  <c r="M12" i="8" s="1"/>
  <c r="G12" i="8"/>
  <c r="H12" i="8"/>
  <c r="I12" i="8"/>
  <c r="J12" i="8"/>
  <c r="K12" i="8"/>
  <c r="L12" i="8"/>
  <c r="D11" i="8"/>
  <c r="E11" i="8"/>
  <c r="F11" i="8"/>
  <c r="G11" i="8"/>
  <c r="H11" i="8"/>
  <c r="I11" i="8"/>
  <c r="J11" i="8"/>
  <c r="K11" i="8"/>
  <c r="L11" i="8"/>
  <c r="D10" i="8"/>
  <c r="E10" i="8"/>
  <c r="F10" i="8"/>
  <c r="G10" i="8"/>
  <c r="M10" i="8" s="1"/>
  <c r="H10" i="8"/>
  <c r="I10" i="8"/>
  <c r="J10" i="8"/>
  <c r="K10" i="8"/>
  <c r="L10" i="8"/>
  <c r="C19" i="8"/>
  <c r="C18" i="8"/>
  <c r="C17" i="8"/>
  <c r="C16" i="8"/>
  <c r="C15" i="8"/>
  <c r="C14" i="8"/>
  <c r="C13" i="8"/>
  <c r="C12" i="8"/>
  <c r="C11" i="8"/>
  <c r="C10" i="8"/>
  <c r="D9" i="8"/>
  <c r="E9" i="8"/>
  <c r="F9" i="8"/>
  <c r="G9" i="8"/>
  <c r="H9" i="8"/>
  <c r="I9" i="8"/>
  <c r="J9" i="8"/>
  <c r="K9" i="8"/>
  <c r="L9" i="8"/>
  <c r="C9" i="8"/>
  <c r="D8" i="8"/>
  <c r="E8" i="8"/>
  <c r="F8" i="8"/>
  <c r="M8" i="8" s="1"/>
  <c r="G8" i="8"/>
  <c r="H8" i="8"/>
  <c r="I8" i="8"/>
  <c r="J8" i="8"/>
  <c r="K8" i="8"/>
  <c r="L8" i="8"/>
  <c r="C8" i="8"/>
  <c r="D7" i="8"/>
  <c r="E7" i="8"/>
  <c r="F7" i="8"/>
  <c r="G7" i="8"/>
  <c r="H7" i="8"/>
  <c r="I7" i="8"/>
  <c r="J7" i="8"/>
  <c r="K7" i="8"/>
  <c r="L7" i="8"/>
  <c r="C7" i="8"/>
  <c r="D6" i="8"/>
  <c r="E6" i="8"/>
  <c r="F6" i="8"/>
  <c r="M6" i="8" s="1"/>
  <c r="G6" i="8"/>
  <c r="H6" i="8"/>
  <c r="I6" i="8"/>
  <c r="J6" i="8"/>
  <c r="K6" i="8"/>
  <c r="L6" i="8"/>
  <c r="C6" i="8"/>
  <c r="D5" i="8"/>
  <c r="E5" i="8"/>
  <c r="F5" i="8"/>
  <c r="G5" i="8"/>
  <c r="H5" i="8"/>
  <c r="I5" i="8"/>
  <c r="J5" i="8"/>
  <c r="K5" i="8"/>
  <c r="L5" i="8"/>
  <c r="C5" i="8"/>
  <c r="M4" i="8"/>
  <c r="M11" i="8"/>
  <c r="M14" i="8"/>
  <c r="D4" i="8"/>
  <c r="E4" i="8"/>
  <c r="F4" i="8"/>
  <c r="G4" i="8"/>
  <c r="H4" i="8"/>
  <c r="I4" i="8"/>
  <c r="J4" i="8"/>
  <c r="K4" i="8"/>
  <c r="L4" i="8"/>
  <c r="C4" i="8"/>
  <c r="M3" i="8"/>
  <c r="D3" i="8"/>
  <c r="E3" i="8"/>
  <c r="F3" i="8"/>
  <c r="G3" i="8"/>
  <c r="H3" i="8"/>
  <c r="I3" i="8"/>
  <c r="J3" i="8"/>
  <c r="K3" i="8"/>
  <c r="L3" i="8"/>
  <c r="C3" i="8"/>
  <c r="B3" i="8" a="1"/>
  <c r="B3" i="8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2" i="6"/>
  <c r="M19" i="8" l="1"/>
  <c r="M18" i="8"/>
  <c r="M16" i="8"/>
  <c r="M15" i="8"/>
  <c r="M13" i="8"/>
  <c r="M9" i="8"/>
  <c r="M7" i="8"/>
  <c r="M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<sst xmlns="http://schemas.openxmlformats.org/spreadsheetml/2006/main" count="672" uniqueCount="270">
  <si>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</si>
  <si>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</si>
  <si>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</si>
  <si>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</si>
  <si>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</si>
  <si>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</si>
  <si>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</si>
  <si>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</si>
  <si>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</si>
  <si>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</si>
  <si>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</si>
  <si>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</si>
  <si>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</si>
  <si>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</si>
  <si>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</si>
  <si>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</si>
  <si>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</si>
  <si>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</si>
  <si>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</si>
  <si>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</si>
  <si>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</si>
  <si>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</si>
  <si>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</si>
  <si>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</si>
  <si>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</si>
  <si>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</si>
  <si>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</si>
  <si>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</si>
  <si>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</si>
  <si>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</si>
  <si>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</si>
  <si>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</si>
  <si>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</si>
  <si>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</si>
  <si>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</si>
  <si>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</si>
  <si>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</si>
  <si>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</si>
  <si>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</si>
  <si>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</si>
  <si>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</si>
  <si>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</si>
  <si>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</si>
  <si>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</si>
  <si>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</si>
  <si>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</si>
  <si>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</si>
  <si>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</si>
  <si>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</si>
  <si>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</si>
  <si>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</si>
  <si>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</si>
  <si>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</si>
  <si>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</si>
  <si>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</si>
  <si>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</si>
  <si>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</si>
  <si>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</si>
  <si>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</si>
  <si>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</si>
  <si>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</si>
  <si>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</si>
  <si>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</si>
  <si>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</si>
  <si>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</si>
  <si>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</si>
  <si>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</si>
  <si>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</si>
  <si>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</si>
  <si>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</si>
  <si>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</si>
  <si>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</si>
  <si>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</si>
  <si>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</si>
  <si>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</si>
  <si>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</si>
  <si>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</si>
  <si>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</si>
  <si>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</si>
  <si>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</si>
  <si>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</si>
  <si>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</si>
  <si>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</si>
  <si>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</si>
  <si>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</si>
  <si>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</si>
  <si>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</si>
  <si>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</si>
  <si>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</si>
  <si>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</si>
  <si>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</si>
  <si>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</si>
  <si>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</si>
  <si>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</si>
  <si>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</si>
  <si>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</si>
  <si>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</si>
  <si>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</si>
  <si>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</si>
  <si>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</si>
  <si>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</si>
  <si>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</si>
  <si>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</si>
  <si>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</si>
  <si>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</si>
  <si>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</si>
  <si>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</si>
  <si>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</si>
  <si>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</si>
  <si>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</si>
  <si>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</si>
  <si>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</si>
  <si>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</si>
  <si>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</si>
  <si>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</si>
  <si>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</si>
  <si>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</si>
  <si>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</si>
  <si>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</si>
  <si>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</si>
  <si>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</si>
  <si>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</si>
  <si>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</si>
  <si>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</si>
  <si>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</si>
  <si>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</si>
  <si>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</si>
  <si>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</si>
  <si>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</si>
  <si>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</si>
  <si>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</si>
  <si>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</si>
  <si>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</si>
  <si>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</si>
  <si>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</si>
  <si>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</si>
  <si>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</si>
  <si>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</si>
  <si>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</si>
  <si>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</si>
  <si>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</si>
  <si>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</si>
  <si>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</si>
  <si>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</si>
  <si>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</si>
  <si>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</si>
  <si>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</si>
  <si>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</si>
  <si>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</si>
  <si>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</si>
  <si>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</si>
  <si>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</si>
  <si>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</si>
  <si>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</si>
  <si>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</si>
  <si>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</si>
  <si>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</si>
  <si>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</si>
  <si>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</si>
  <si>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</si>
  <si>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</si>
  <si>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</si>
  <si>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</si>
  <si>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</si>
  <si>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</si>
  <si>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</si>
  <si>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</si>
  <si>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</si>
  <si>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</si>
  <si>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</si>
  <si>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</si>
  <si>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</si>
  <si>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</si>
  <si>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</si>
  <si>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</si>
  <si>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</si>
  <si>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</si>
  <si>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</si>
  <si>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</si>
  <si>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</si>
  <si>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</si>
  <si>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</si>
  <si>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</si>
  <si>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</si>
  <si>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</si>
  <si>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</si>
  <si>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</si>
  <si>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</si>
  <si>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</si>
  <si>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</si>
  <si>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</si>
  <si>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</si>
  <si>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</si>
  <si>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</si>
  <si>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</si>
  <si>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</si>
  <si>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</si>
  <si>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</si>
  <si>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</si>
  <si>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</si>
  <si>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</si>
  <si>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</si>
  <si>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</si>
  <si>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</si>
  <si>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</si>
  <si>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</si>
  <si>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</si>
  <si>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</si>
  <si>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</si>
  <si>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</si>
  <si>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</si>
  <si>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</si>
  <si>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</si>
  <si>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</si>
  <si>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</si>
  <si>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</si>
  <si>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</si>
  <si>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</si>
  <si>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</si>
  <si>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</si>
  <si>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</si>
  <si>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</si>
  <si>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</si>
  <si>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</si>
  <si>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</si>
  <si>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</si>
  <si>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</si>
  <si>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</si>
  <si>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</si>
  <si>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</si>
  <si>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</si>
  <si>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</si>
  <si>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</si>
  <si>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</si>
  <si>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</si>
  <si>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</si>
  <si>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</si>
  <si>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</si>
  <si>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</si>
  <si>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</si>
  <si>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</si>
  <si>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</si>
  <si>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</si>
  <si>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</si>
  <si>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</si>
  <si>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</si>
  <si>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​</t>
  </si>
  <si>
    <t>Totale complessivo</t>
  </si>
  <si>
    <t>Conteggio di Stock exchange</t>
  </si>
  <si>
    <t>Somma di Quantity</t>
  </si>
  <si>
    <t>Num of trades</t>
  </si>
  <si>
    <t>Mandatory to pay taxes</t>
  </si>
  <si>
    <t>TradeID</t>
  </si>
  <si>
    <t>Duration</t>
  </si>
  <si>
    <t>Profit</t>
  </si>
  <si>
    <t>Nel diagramma è rappresentata la durata di mantenimento dei titoli espressa in giorni. Tale durata è calcolata considerando i giorni intercorsi tra la data di acquisto e la data di vendita del titolo. La distribuzione di tale Duration non è da considerarsi Normale, perchè non è campanulare, non è simmetrica rispetto alla media, inoltre Media, Moda e Mediana non coincidono.</t>
  </si>
  <si>
    <t>Number of trades</t>
  </si>
  <si>
    <t>TOT</t>
  </si>
  <si>
    <t>Distr. Marginale</t>
  </si>
  <si>
    <t>Ampiezza</t>
  </si>
  <si>
    <t>Min</t>
  </si>
  <si>
    <t>Max</t>
  </si>
  <si>
    <t>N. intervalli</t>
  </si>
  <si>
    <t>Lim inf</t>
  </si>
  <si>
    <t>Lim sup</t>
  </si>
  <si>
    <t>Limiti di intervalli</t>
  </si>
  <si>
    <t>Freq assolute</t>
  </si>
  <si>
    <t>Classi di intervallo</t>
  </si>
  <si>
    <t>P(Asiatico &lt;=8)</t>
  </si>
  <si>
    <t>P(UK,7)=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</si>
</sst>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[$$-45C]* #,##0.00000_-;\-[$$-45C]* #,##0.00000_-;_-[$$-45C]* &quot;-&quot;??_-;_-@_-"/>
  </numFmts>
  <fonts count="12">
    <font>
      <sz val="10"/>
      <color rgb="FF000000"/>
      <name val="Arial"/>
      <scheme val="minor"/>
    </font>
    <font>
      <sz val="10"/>
      <color rgb="FF000000"/>
      <name val="Monospace"/>
    </font>
    <font>
      <sz val="10"/>
      <color rgb="FF000000"/>
      <name val="Calibri"/>
    </font>
    <font>
      <sz val="10"/>
      <color theme="1"/>
      <name val="Calibri"/>
    </font>
    <font>
      <sz val="11"/>
      <color rgb="FF000000"/>
      <name val="Monospace"/>
    </font>
    <font>
      <sz val="10"/>
      <color rgb="FF303F9F"/>
      <name val="Monospace"/>
    </font>
    <font>
      <sz val="10"/>
      <color theme="1"/>
      <name val="Inherit"/>
    </font>
    <font>
      <sz val="10"/>
      <color theme="1"/>
      <name val="Monospace"/>
    </font>
    <font>
      <sz val="10"/>
      <color rgb="FF000000"/>
      <name val="Arial"/>
      <family val="2"/>
      <scheme val="minor"/>
    </font>
    <font>
      <sz val="12"/>
      <color theme="4" tint="-0.249977111117893"/>
      <name val="Comic Sans MS"/>
      <family val="4"/>
    </font>
    <font>
      <b/>
      <sz val="14"/>
      <color rgb="FF000000"/>
      <name val="Calibri"/>
      <family val="2"/>
    </font>
    <font>
      <sz val="12"/>
      <color theme="4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3" fillId="0" borderId="1" xfId="0" applyFont="1" applyBorder="1"/>
    <xf numFmtId="164" fontId="1" fillId="0" borderId="1" xfId="0" applyNumberFormat="1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11" fontId="4" fillId="2" borderId="1" xfId="0" applyNumberFormat="1" applyFont="1" applyFill="1" applyBorder="1" applyAlignment="1">
      <alignment horizontal="left" wrapText="1"/>
    </xf>
    <xf numFmtId="0" fontId="0" fillId="3" borderId="0" xfId="0" applyFill="1"/>
    <xf numFmtId="0" fontId="3" fillId="3" borderId="0" xfId="0" applyFont="1" applyFill="1"/>
    <xf numFmtId="0" fontId="1" fillId="3" borderId="0" xfId="0" applyFont="1" applyFill="1" applyAlignment="1">
      <alignment horizontal="left" wrapText="1"/>
    </xf>
    <xf numFmtId="0" fontId="2" fillId="3" borderId="0" xfId="0" applyFont="1" applyFill="1"/>
    <xf numFmtId="164" fontId="5" fillId="3" borderId="0" xfId="0" applyNumberFormat="1" applyFont="1" applyFill="1" applyAlignment="1">
      <alignment horizontal="right" wrapText="1"/>
    </xf>
    <xf numFmtId="164" fontId="6" fillId="3" borderId="0" xfId="0" applyNumberFormat="1" applyFont="1" applyFill="1" applyAlignment="1">
      <alignment horizontal="right"/>
    </xf>
    <xf numFmtId="164" fontId="4" fillId="4" borderId="0" xfId="0" applyNumberFormat="1" applyFont="1" applyFill="1" applyAlignment="1">
      <alignment wrapText="1"/>
    </xf>
    <xf numFmtId="164" fontId="7" fillId="3" borderId="0" xfId="0" applyNumberFormat="1" applyFont="1" applyFill="1" applyAlignment="1">
      <alignment horizontal="right"/>
    </xf>
    <xf numFmtId="164" fontId="3" fillId="3" borderId="0" xfId="0" applyNumberFormat="1" applyFont="1" applyFill="1"/>
    <xf numFmtId="164" fontId="0" fillId="3" borderId="0" xfId="0" applyNumberFormat="1" applyFill="1"/>
    <xf numFmtId="0" fontId="1" fillId="0" borderId="4" xfId="0" applyFont="1" applyBorder="1" applyAlignment="1">
      <alignment horizontal="left" wrapText="1"/>
    </xf>
    <xf numFmtId="0" fontId="2" fillId="0" borderId="4" xfId="0" applyFont="1" applyBorder="1"/>
    <xf numFmtId="0" fontId="3" fillId="0" borderId="4" xfId="0" applyFont="1" applyBorder="1"/>
    <xf numFmtId="164" fontId="1" fillId="0" borderId="4" xfId="0" applyNumberFormat="1" applyFont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9" fillId="0" borderId="3" xfId="0" applyFont="1" applyBorder="1"/>
    <xf numFmtId="164" fontId="9" fillId="0" borderId="3" xfId="0" applyNumberFormat="1" applyFont="1" applyBorder="1"/>
    <xf numFmtId="0" fontId="10" fillId="3" borderId="0" xfId="0" applyFont="1" applyFill="1"/>
    <xf numFmtId="0" fontId="0" fillId="0" borderId="1" xfId="0" applyBorder="1"/>
    <xf numFmtId="0" fontId="0" fillId="0" borderId="4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0" fillId="0" borderId="4" xfId="0" applyNumberFormat="1" applyBorder="1"/>
    <xf numFmtId="0" fontId="11" fillId="0" borderId="1" xfId="0" applyFont="1" applyBorder="1"/>
    <xf numFmtId="0" fontId="11" fillId="0" borderId="8" xfId="0" applyFont="1" applyBorder="1"/>
    <xf numFmtId="0" fontId="11" fillId="0" borderId="4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1" xfId="0" applyBorder="1"/>
    <xf numFmtId="0" fontId="11" fillId="0" borderId="23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0" fontId="8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0" borderId="1" xfId="0" applyNumberFormat="1" applyBorder="1"/>
    <xf numFmtId="0" fontId="0" fillId="3" borderId="0" xfId="0" applyFill="1" applyBorder="1"/>
    <xf numFmtId="0" fontId="0" fillId="0" borderId="1" xfId="0" applyNumberFormat="1" applyBorder="1"/>
    <xf numFmtId="0" fontId="0" fillId="0" borderId="4" xfId="0" applyBorder="1" applyAlignment="1">
      <alignment horizontal="center"/>
    </xf>
    <xf numFmtId="2" fontId="0" fillId="3" borderId="0" xfId="0" applyNumberFormat="1" applyFill="1"/>
  </cellXfs>
  <cellStyles count="1">
    <cellStyle name="Normale" xfId="0" builtinId="0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'Profit insights'!$P$8:$P$27</c:f>
              <c:strCache>
                <c:ptCount val="20"/>
                <c:pt idx="0">
                  <c:v>30-71,6</c:v>
                </c:pt>
                <c:pt idx="1">
                  <c:v>71,6-113,2</c:v>
                </c:pt>
                <c:pt idx="2">
                  <c:v>113,2-154,8</c:v>
                </c:pt>
                <c:pt idx="3">
                  <c:v>154,8-196,4</c:v>
                </c:pt>
                <c:pt idx="4">
                  <c:v>196,4-238</c:v>
                </c:pt>
                <c:pt idx="5">
                  <c:v>238-279,6</c:v>
                </c:pt>
                <c:pt idx="6">
                  <c:v>279,6-321,2</c:v>
                </c:pt>
                <c:pt idx="7">
                  <c:v>321,2-362,8</c:v>
                </c:pt>
                <c:pt idx="8">
                  <c:v>362,8-404,4</c:v>
                </c:pt>
                <c:pt idx="9">
                  <c:v>404,4-446</c:v>
                </c:pt>
                <c:pt idx="10">
                  <c:v>446-487,6</c:v>
                </c:pt>
                <c:pt idx="11">
                  <c:v>487,6-529,2</c:v>
                </c:pt>
                <c:pt idx="12">
                  <c:v>529,2-570,8</c:v>
                </c:pt>
                <c:pt idx="13">
                  <c:v>570,8-612,4</c:v>
                </c:pt>
                <c:pt idx="14">
                  <c:v>612,4-654</c:v>
                </c:pt>
                <c:pt idx="15">
                  <c:v>654-695,6</c:v>
                </c:pt>
                <c:pt idx="16">
                  <c:v>695,6-737,2</c:v>
                </c:pt>
                <c:pt idx="17">
                  <c:v>737,2-778,8</c:v>
                </c:pt>
                <c:pt idx="18">
                  <c:v>778,8-820,4</c:v>
                </c:pt>
                <c:pt idx="19">
                  <c:v>820,4-862</c:v>
                </c:pt>
              </c:strCache>
            </c:strRef>
          </c:cat>
          <c:val>
            <c:numRef>
              <c:f>'Profit insights'!$Q$8:$Q$27</c:f>
              <c:numCache>
                <c:formatCode>General</c:formatCode>
                <c:ptCount val="20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13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15</c:v>
                </c:pt>
                <c:pt idx="10">
                  <c:v>10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13</c:v>
                </c:pt>
                <c:pt idx="18">
                  <c:v>9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72-B45F-E8BBD430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15722944"/>
        <c:axId val="990760032"/>
      </c:barChart>
      <c:catAx>
        <c:axId val="151572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Duration (giorni)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0760032"/>
        <c:crosses val="autoZero"/>
        <c:auto val="1"/>
        <c:lblAlgn val="ctr"/>
        <c:lblOffset val="100"/>
        <c:noMultiLvlLbl val="0"/>
      </c:catAx>
      <c:valAx>
        <c:axId val="9907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57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70400</xdr:colOff>
      <xdr:row>1</xdr:row>
      <xdr:rowOff>8284</xdr:rowOff>
    </xdr:from>
    <xdr:to>
      <xdr:col>12</xdr:col>
      <xdr:colOff>397565</xdr:colOff>
      <xdr:row>19</xdr:row>
      <xdr:rowOff>120926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CD32AE-249F-DAB5-1442-5B2D8CFD1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5" refreshedDate="45211.439380208336" createdVersion="8" refreshedVersion="8" minRefreshableVersion="3" recordCount="200" xr:uid="{BF8EEE47-241E-41D9-817A-559A36930CEC}">
  <cacheSource type="worksheet">
    <worksheetSource ref="A1:H201" sheet="My trades"/>
  </cacheSource>
  <cacheFields count="8">
    <cacheField name="Trade" numFmtId="0">
      <sharedItems count="200">
        <s v="agfgcfxt"/>
        <s v="aieoltom"/>
        <s v="almuieaq"/>
        <s v="apxkynfx"/>
        <s v="bbjeprsq"/>
        <s v="bcizkhng"/>
        <s v="bdkloegq"/>
        <s v="beszhcyh"/>
        <s v="bjfxoyxb"/>
        <s v="bpjmrhjo"/>
        <s v="brxwzrct"/>
        <s v="bumcnvke"/>
        <s v="cesjzpbs"/>
        <s v="cetffxgx"/>
        <s v="chhqshvn"/>
        <s v="ciykrilb"/>
        <s v="cnitsbpk"/>
        <s v="cntrbotn"/>
        <s v="cwuqczya"/>
        <s v="cymioqte"/>
        <s v="dcnexoao"/>
        <s v="dcplrgaa"/>
        <s v="dieionnl"/>
        <s v="dlgsjszn"/>
        <s v="dpaxyvrx"/>
        <s v="dspetbsq"/>
        <s v="ebkkmqbi"/>
        <s v="egvfikiy"/>
        <s v="eknpqcge"/>
        <s v="ekteqlhb"/>
        <s v="emjmheht"/>
        <s v="eodhevfz"/>
        <s v="ewzlrcco"/>
        <s v="fenldjbq"/>
        <s v="fipcayvv"/>
        <s v="fjcdzhde"/>
        <s v="fjhbimle"/>
        <s v="fkgjitio"/>
        <s v="frlnnmpc"/>
        <s v="fucpzbpk"/>
        <s v="fzpkolfu"/>
        <s v="gcndrwci"/>
        <s v="gfiuzniq"/>
        <s v="giuqiukz"/>
        <s v="gnghjpok"/>
        <s v="goxmkirb"/>
        <s v="gsarsxnf"/>
        <s v="hafqyymf"/>
        <s v="hdpggnqd"/>
        <s v="hdslpwul"/>
        <s v="heuzjzpi"/>
        <s v="hfdavabb"/>
        <s v="hfjghpbq"/>
        <s v="hflsqchs"/>
        <s v="hfwtmipz"/>
        <s v="hkesgmfj"/>
        <s v="hmtiybmi"/>
        <s v="hnmvqkxv"/>
        <s v="hpvfzslv"/>
        <s v="hrfilyua"/>
        <s v="hutszssu"/>
        <s v="iagrfath"/>
        <s v="icbmbfqb"/>
        <s v="icgddrqk"/>
        <s v="ifomvwpk"/>
        <s v="ifskxsgr"/>
        <s v="ivnpgban"/>
        <s v="iztdnkqz"/>
        <s v="jarhgmub"/>
        <s v="jgrpnvil"/>
        <s v="jhrvrggo"/>
        <s v="jszxcuxx"/>
        <s v="jvcllvko"/>
        <s v="jxgqnvpx"/>
        <s v="jyrrbwon"/>
        <s v="kcqqvvon"/>
        <s v="kdxpqsjj"/>
        <s v="kltxxoqv"/>
        <s v="kmlcsefq"/>
        <s v="knifvikn"/>
        <s v="knrhgdai"/>
        <s v="koqfbdwf"/>
        <s v="kpoujdyl"/>
        <s v="kqbdcljv"/>
        <s v="krqkwnaw"/>
        <s v="kwbxqlin"/>
        <s v="kweyaukr"/>
        <s v="ldjllwvy"/>
        <s v="lenpuaop"/>
        <s v="lkxgzzvq"/>
        <s v="loffykcg"/>
        <s v="lpzjhtkm"/>
        <s v="maizvkuo"/>
        <s v="mfdlyjqb"/>
        <s v="mfwvjgje"/>
        <s v="mghfyjbr"/>
        <s v="mjbwcafl"/>
        <s v="mjyuxzvj"/>
        <s v="mkxkerbr"/>
        <s v="mxmztjnk"/>
        <s v="mxpzparg"/>
        <s v="nheepbxg"/>
        <s v="njxhycea"/>
        <s v="nklszbdc"/>
        <s v="nqgoiuik"/>
        <s v="nriklgrf"/>
        <s v="nuleyiit"/>
        <s v="nzyednpn"/>
        <s v="ogszgnpm"/>
        <s v="ohtzxhrm"/>
        <s v="olnjegug"/>
        <s v="oplgqwal"/>
        <s v="orgnwenh"/>
        <s v="ossshndu"/>
        <s v="pberstsl"/>
        <s v="pcifviip"/>
        <s v="pnsxdhqo"/>
        <s v="poohpdwc"/>
        <s v="pswtoazn"/>
        <s v="pxkjcmpp"/>
        <s v="pxzcvvvv"/>
        <s v="pyljmfku"/>
        <s v="pysaclod"/>
        <s v="pywztrno"/>
        <s v="qdqbwhng"/>
        <s v="qexyofhb"/>
        <s v="qhprzdnb"/>
        <s v="qklyndfp"/>
        <s v="qonnwndv"/>
        <s v="rcmrnpig"/>
        <s v="rfngluke"/>
        <s v="rgbcrwet"/>
        <s v="rkupdsbn"/>
        <s v="rxbzlipl"/>
        <s v="rypujago"/>
        <s v="scoljxeg"/>
        <s v="seaeoiib"/>
        <s v="sejklwar"/>
        <s v="seszlhqz"/>
        <s v="sgdkuekd"/>
        <s v="slqawwyu"/>
        <s v="stsjuvrd"/>
        <s v="tazccemg"/>
        <s v="tgayvhvz"/>
        <s v="tiebtpqq"/>
        <s v="tjtyuhoi"/>
        <s v="tsmbtvip"/>
        <s v="tsrjnkjg"/>
        <s v="ttxgpfqy"/>
        <s v="tuneagik"/>
        <s v="twxakkhn"/>
        <s v="txuwmhfn"/>
        <s v="tyoavqhc"/>
        <s v="ucjtvrzo"/>
        <s v="ueoaufxg"/>
        <s v="ugegxjpi"/>
        <s v="uijhzhtp"/>
        <s v="uiytklhp"/>
        <s v="umdvcmek"/>
        <s v="unxxstxp"/>
        <s v="upcbwvls"/>
        <s v="uvenvheh"/>
        <s v="vajwbmmv"/>
        <s v="vggvbbxh"/>
        <s v="vjtxbscg"/>
        <s v="vnkvbrpg"/>
        <s v="vqkagvwm"/>
        <s v="waxzujox"/>
        <s v="wfglkcmq"/>
        <s v="wgpoqytj"/>
        <s v="wgzgfkki"/>
        <s v="wiujcxll"/>
        <s v="wmesgogf"/>
        <s v="wzerurjz"/>
        <s v="xbcdvdtp"/>
        <s v="xgimgqvp"/>
        <s v="xgszegxx"/>
        <s v="xgxazdwr"/>
        <s v="xkdlzakx"/>
        <s v="xmfevyrg"/>
        <s v="xmzhzbvl"/>
        <s v="xslzwome"/>
        <s v="xydeqivj"/>
        <s v="ybasexlh"/>
        <s v="ydcmffnz"/>
        <s v="yjrqvwdc"/>
        <s v="ynqvlbrq"/>
        <s v="ynrcizqr"/>
        <s v="ypdwpcvo"/>
        <s v="yrvvdedn"/>
        <s v="ysndnwiy"/>
        <s v="ywfotaaf"/>
        <s v="yyclexzy"/>
        <s v="zhhtkovi"/>
        <s v="zkxftiop"/>
        <s v="zlqfijoe"/>
        <s v="zrgkwdyf"/>
        <s v="zsbkamjf"/>
        <s v="zsylhezi"/>
        <s v="zvxjotpr"/>
      </sharedItems>
    </cacheField>
    <cacheField name="Stock exchange" numFmtId="0">
      <sharedItems count="21">
        <s v="Bombay Stock Exchange"/>
        <s v="Tehran Stock Exchange"/>
        <s v="National Stock Exchange"/>
        <s v="SIX Swiss Exchange"/>
        <s v="Euronext"/>
        <s v="Korea Exchange"/>
        <s v="Johannesburg Stock Exchange"/>
        <s v="Toronto Stock Exchange"/>
        <s v="Deutsche Börse AG"/>
        <s v="Saudi Stock Exchange (Tadawul)"/>
        <s v="Japan Exchange Group"/>
        <s v="Hong Kong Stock Exchange"/>
        <s v="Shanghai Stock Exchange"/>
        <s v="London Stock Exchange"/>
        <s v="B3 Brasil Bolsa Balcão"/>
        <s v="Nasdaq"/>
        <s v="Shenzhen Stock Exchange"/>
        <s v="Taiwan Stock Exchange"/>
        <s v="New York Stock Exchange"/>
        <s v="Australian Securities Exchange"/>
        <s v="Nasdaq Nordic and Baltic Exchanges"/>
      </sharedItems>
    </cacheField>
    <cacheField name="Region" numFmtId="0">
      <sharedItems count="17"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</sharedItems>
    </cacheField>
    <cacheField name="Date added" numFmtId="164">
      <sharedItems containsSemiMixedTypes="0" containsNonDate="0" containsDate="1" containsString="0" minDate="2021-01-02T00:00:00" maxDate="2022-12-31T00:00:00"/>
    </cacheField>
    <cacheField name="Quantity" numFmtId="0">
      <sharedItems containsSemiMixedTypes="0" containsString="0" containsNumber="1" containsInteger="1" minValue="1" maxValue="10"/>
    </cacheField>
    <cacheField name="Buy Price" numFmtId="0">
      <sharedItems containsSemiMixedTypes="0" containsString="0" containsNumber="1" minValue="2.2027610408179498E-3" maxValue="0.98933192835650696"/>
    </cacheField>
    <cacheField name="Date sold" numFmtId="164">
      <sharedItems containsSemiMixedTypes="0" containsNonDate="0" containsDate="1" containsString="0" minDate="2023-01-02T00:00:00" maxDate="2023-06-16T00:00:00"/>
    </cacheField>
    <cacheField name="Sell Price" numFmtId="0">
      <sharedItems containsSemiMixedTypes="0" containsString="0" containsNumber="1" minValue="6.0761804468123501E-5" maxValue="0.99207281995433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d v="2022-10-07T00:00:00"/>
    <n v="7"/>
    <n v="0.28318547112501802"/>
    <d v="2023-06-15T00:00:00"/>
    <n v="0.557129814707503"/>
  </r>
  <r>
    <x v="1"/>
    <x v="1"/>
    <x v="1"/>
    <d v="2021-01-04T00:00:00"/>
    <n v="2"/>
    <n v="0.64142747007026002"/>
    <d v="2023-04-23T00:00:00"/>
    <n v="0.88983597888511301"/>
  </r>
  <r>
    <x v="2"/>
    <x v="2"/>
    <x v="0"/>
    <d v="2021-11-19T00:00:00"/>
    <n v="6"/>
    <n v="0.98092817996517101"/>
    <d v="2023-02-11T00:00:00"/>
    <n v="0.72256312699759195"/>
  </r>
  <r>
    <x v="3"/>
    <x v="3"/>
    <x v="2"/>
    <d v="2022-04-13T00:00:00"/>
    <n v="1"/>
    <n v="0.46027529609517198"/>
    <d v="2023-02-14T00:00:00"/>
    <n v="0.82793169583258497"/>
  </r>
  <r>
    <x v="4"/>
    <x v="0"/>
    <x v="0"/>
    <d v="2021-06-04T00:00:00"/>
    <n v="9"/>
    <n v="0.55179844990216698"/>
    <d v="2023-02-20T00:00:00"/>
    <n v="0.19789786446941801"/>
  </r>
  <r>
    <x v="5"/>
    <x v="4"/>
    <x v="3"/>
    <d v="2021-11-29T00:00:00"/>
    <n v="1"/>
    <n v="0.30386848867018701"/>
    <d v="2023-02-12T00:00:00"/>
    <n v="0.97814412656590199"/>
  </r>
  <r>
    <x v="6"/>
    <x v="5"/>
    <x v="4"/>
    <d v="2021-10-31T00:00:00"/>
    <n v="3"/>
    <n v="0.100945559071712"/>
    <d v="2023-01-04T00:00:00"/>
    <n v="0.407405377776074"/>
  </r>
  <r>
    <x v="7"/>
    <x v="6"/>
    <x v="5"/>
    <d v="2022-01-23T00:00:00"/>
    <n v="4"/>
    <n v="0.13652069785058399"/>
    <d v="2023-03-06T00:00:00"/>
    <n v="0.38969057106772598"/>
  </r>
  <r>
    <x v="8"/>
    <x v="7"/>
    <x v="6"/>
    <d v="2021-10-03T00:00:00"/>
    <n v="10"/>
    <n v="0.41670439236003598"/>
    <d v="2023-04-29T00:00:00"/>
    <n v="0.54934508287877304"/>
  </r>
  <r>
    <x v="9"/>
    <x v="4"/>
    <x v="3"/>
    <d v="2022-01-26T00:00:00"/>
    <n v="6"/>
    <n v="0.24316986891245501"/>
    <d v="2023-03-02T00:00:00"/>
    <n v="0.420232824731951"/>
  </r>
  <r>
    <x v="10"/>
    <x v="8"/>
    <x v="7"/>
    <d v="2021-07-30T00:00:00"/>
    <n v="5"/>
    <n v="0.80079383386161695"/>
    <d v="2023-03-11T00:00:00"/>
    <n v="0.89666229529100405"/>
  </r>
  <r>
    <x v="11"/>
    <x v="0"/>
    <x v="0"/>
    <d v="2021-12-13T00:00:00"/>
    <n v="10"/>
    <n v="0.638981266676107"/>
    <d v="2023-04-15T00:00:00"/>
    <n v="0.77496721699985804"/>
  </r>
  <r>
    <x v="12"/>
    <x v="0"/>
    <x v="0"/>
    <d v="2022-12-30T00:00:00"/>
    <n v="8"/>
    <n v="0.34625418958602699"/>
    <d v="2023-04-18T00:00:00"/>
    <n v="0.71065052633396197"/>
  </r>
  <r>
    <x v="13"/>
    <x v="9"/>
    <x v="8"/>
    <d v="2021-06-08T00:00:00"/>
    <n v="6"/>
    <n v="0.36584758654187899"/>
    <d v="2023-04-07T00:00:00"/>
    <n v="0.45311698845143"/>
  </r>
  <r>
    <x v="14"/>
    <x v="6"/>
    <x v="5"/>
    <d v="2022-05-29T00:00:00"/>
    <n v="6"/>
    <n v="0.379060395757914"/>
    <d v="2023-02-20T00:00:00"/>
    <n v="0.31616207722275602"/>
  </r>
  <r>
    <x v="15"/>
    <x v="10"/>
    <x v="9"/>
    <d v="2022-12-27T00:00:00"/>
    <n v="8"/>
    <n v="0.72895214290311094"/>
    <d v="2023-03-15T00:00:00"/>
    <n v="0.22418004410534101"/>
  </r>
  <r>
    <x v="16"/>
    <x v="11"/>
    <x v="10"/>
    <d v="2021-04-08T00:00:00"/>
    <n v="5"/>
    <n v="0.42202075102150899"/>
    <d v="2023-05-10T00:00:00"/>
    <n v="0.38793156543941099"/>
  </r>
  <r>
    <x v="17"/>
    <x v="12"/>
    <x v="11"/>
    <d v="2021-05-25T00:00:00"/>
    <n v="4"/>
    <n v="0.221183884694959"/>
    <d v="2023-02-07T00:00:00"/>
    <n v="0.33188863151931702"/>
  </r>
  <r>
    <x v="18"/>
    <x v="2"/>
    <x v="0"/>
    <d v="2021-01-09T00:00:00"/>
    <n v="1"/>
    <n v="0.33608049957319502"/>
    <d v="2023-05-21T00:00:00"/>
    <n v="0.632173644236244"/>
  </r>
  <r>
    <x v="19"/>
    <x v="10"/>
    <x v="9"/>
    <d v="2021-07-08T00:00:00"/>
    <n v="1"/>
    <n v="0.66879924137456503"/>
    <d v="2023-04-03T00:00:00"/>
    <n v="0.97050369055421803"/>
  </r>
  <r>
    <x v="20"/>
    <x v="13"/>
    <x v="12"/>
    <d v="2021-08-10T00:00:00"/>
    <n v="1"/>
    <n v="0.94855371414201095"/>
    <d v="2023-02-07T00:00:00"/>
    <n v="0.335795433783181"/>
  </r>
  <r>
    <x v="21"/>
    <x v="0"/>
    <x v="0"/>
    <d v="2021-04-17T00:00:00"/>
    <n v="9"/>
    <n v="0.84008770787604403"/>
    <d v="2023-03-26T00:00:00"/>
    <n v="0.55247139186324401"/>
  </r>
  <r>
    <x v="22"/>
    <x v="14"/>
    <x v="13"/>
    <d v="2021-09-30T00:00:00"/>
    <n v="2"/>
    <n v="2.2027610408179498E-3"/>
    <d v="2023-03-31T00:00:00"/>
    <n v="0.38274839978632802"/>
  </r>
  <r>
    <x v="23"/>
    <x v="15"/>
    <x v="14"/>
    <d v="2022-08-13T00:00:00"/>
    <n v="3"/>
    <n v="0.70520735936114698"/>
    <d v="2023-04-07T00:00:00"/>
    <n v="0.85427426099032899"/>
  </r>
  <r>
    <x v="24"/>
    <x v="7"/>
    <x v="6"/>
    <d v="2022-11-17T00:00:00"/>
    <n v="2"/>
    <n v="0.83894286337563995"/>
    <d v="2023-01-07T00:00:00"/>
    <n v="0.67630232908539301"/>
  </r>
  <r>
    <x v="25"/>
    <x v="14"/>
    <x v="13"/>
    <d v="2022-06-13T00:00:00"/>
    <n v="8"/>
    <n v="0.87889715359181098"/>
    <d v="2023-01-06T00:00:00"/>
    <n v="0.20020556920871699"/>
  </r>
  <r>
    <x v="26"/>
    <x v="5"/>
    <x v="4"/>
    <d v="2022-02-07T00:00:00"/>
    <n v="7"/>
    <n v="0.81200798012546904"/>
    <d v="2023-05-18T00:00:00"/>
    <n v="0.26150647842758601"/>
  </r>
  <r>
    <x v="27"/>
    <x v="0"/>
    <x v="0"/>
    <d v="2021-10-23T00:00:00"/>
    <n v="1"/>
    <n v="0.27554760755730201"/>
    <d v="2023-05-03T00:00:00"/>
    <n v="0.19858809226913399"/>
  </r>
  <r>
    <x v="28"/>
    <x v="0"/>
    <x v="0"/>
    <d v="2021-11-23T00:00:00"/>
    <n v="3"/>
    <n v="0.15183590676997499"/>
    <d v="2023-04-20T00:00:00"/>
    <n v="0.96263635120934099"/>
  </r>
  <r>
    <x v="29"/>
    <x v="8"/>
    <x v="7"/>
    <d v="2021-03-26T00:00:00"/>
    <n v="1"/>
    <n v="0.31751651418006399"/>
    <d v="2023-02-10T00:00:00"/>
    <n v="0.47080505116614901"/>
  </r>
  <r>
    <x v="30"/>
    <x v="13"/>
    <x v="12"/>
    <d v="2022-02-02T00:00:00"/>
    <n v="7"/>
    <n v="8.2508842921547004E-2"/>
    <d v="2023-02-24T00:00:00"/>
    <n v="0.90723039307728803"/>
  </r>
  <r>
    <x v="31"/>
    <x v="16"/>
    <x v="11"/>
    <d v="2021-02-12T00:00:00"/>
    <n v="9"/>
    <n v="3.8415611438702597E-2"/>
    <d v="2023-04-18T00:00:00"/>
    <n v="0.69214535069910299"/>
  </r>
  <r>
    <x v="32"/>
    <x v="17"/>
    <x v="15"/>
    <d v="2021-12-11T00:00:00"/>
    <n v="9"/>
    <n v="0.215773738787989"/>
    <d v="2023-04-24T00:00:00"/>
    <n v="0.54884364241615202"/>
  </r>
  <r>
    <x v="33"/>
    <x v="8"/>
    <x v="7"/>
    <d v="2021-09-07T00:00:00"/>
    <n v="5"/>
    <n v="0.72585135876436702"/>
    <d v="2023-05-07T00:00:00"/>
    <n v="0.173994592694031"/>
  </r>
  <r>
    <x v="34"/>
    <x v="3"/>
    <x v="2"/>
    <d v="2021-12-24T00:00:00"/>
    <n v="8"/>
    <n v="0.68255570090641804"/>
    <d v="2023-03-03T00:00:00"/>
    <n v="0.60454082217188998"/>
  </r>
  <r>
    <x v="35"/>
    <x v="4"/>
    <x v="3"/>
    <d v="2021-01-02T00:00:00"/>
    <n v="3"/>
    <n v="0.80123839065137303"/>
    <d v="2023-05-03T00:00:00"/>
    <n v="0.30527628395158701"/>
  </r>
  <r>
    <x v="36"/>
    <x v="17"/>
    <x v="15"/>
    <d v="2022-10-04T00:00:00"/>
    <n v="4"/>
    <n v="0.86036052556079601"/>
    <d v="2023-02-11T00:00:00"/>
    <n v="0.75556235613803402"/>
  </r>
  <r>
    <x v="37"/>
    <x v="8"/>
    <x v="7"/>
    <d v="2021-11-03T00:00:00"/>
    <n v="3"/>
    <n v="0.89411437906362101"/>
    <d v="2023-01-25T00:00:00"/>
    <n v="0.15236785201696099"/>
  </r>
  <r>
    <x v="38"/>
    <x v="18"/>
    <x v="14"/>
    <d v="2022-01-18T00:00:00"/>
    <n v="10"/>
    <n v="0.93792316902615502"/>
    <d v="2023-05-15T00:00:00"/>
    <n v="0.45551581516099299"/>
  </r>
  <r>
    <x v="39"/>
    <x v="1"/>
    <x v="1"/>
    <d v="2022-12-03T00:00:00"/>
    <n v="4"/>
    <n v="0.70777097045034598"/>
    <d v="2023-02-12T00:00:00"/>
    <n v="0.29010240599643"/>
  </r>
  <r>
    <x v="40"/>
    <x v="18"/>
    <x v="14"/>
    <d v="2021-04-29T00:00:00"/>
    <n v="10"/>
    <n v="0.32809052787687998"/>
    <d v="2023-05-12T00:00:00"/>
    <n v="0.53620178529362506"/>
  </r>
  <r>
    <x v="41"/>
    <x v="1"/>
    <x v="1"/>
    <d v="2022-12-26T00:00:00"/>
    <n v="10"/>
    <n v="0.20148931810460499"/>
    <d v="2023-04-11T00:00:00"/>
    <n v="0.37346939187061601"/>
  </r>
  <r>
    <x v="42"/>
    <x v="10"/>
    <x v="9"/>
    <d v="2022-05-27T00:00:00"/>
    <n v="6"/>
    <n v="3.5993791246495099E-2"/>
    <d v="2023-02-28T00:00:00"/>
    <n v="0.97861539568179701"/>
  </r>
  <r>
    <x v="43"/>
    <x v="0"/>
    <x v="0"/>
    <d v="2022-08-22T00:00:00"/>
    <n v="1"/>
    <n v="0.71704537744139196"/>
    <d v="2023-04-06T00:00:00"/>
    <n v="0.16233553287650401"/>
  </r>
  <r>
    <x v="44"/>
    <x v="12"/>
    <x v="11"/>
    <d v="2021-05-22T00:00:00"/>
    <n v="9"/>
    <n v="0.71155870482197403"/>
    <d v="2023-04-29T00:00:00"/>
    <n v="0.15390650537949099"/>
  </r>
  <r>
    <x v="45"/>
    <x v="8"/>
    <x v="7"/>
    <d v="2021-03-19T00:00:00"/>
    <n v="6"/>
    <n v="6.4033223650055093E-2"/>
    <d v="2023-03-19T00:00:00"/>
    <n v="4.2104998611888203E-3"/>
  </r>
  <r>
    <x v="46"/>
    <x v="11"/>
    <x v="10"/>
    <d v="2022-06-13T00:00:00"/>
    <n v="7"/>
    <n v="0.97988976578176401"/>
    <d v="2023-05-05T00:00:00"/>
    <n v="4.3763329833777703E-2"/>
  </r>
  <r>
    <x v="47"/>
    <x v="7"/>
    <x v="6"/>
    <d v="2021-05-24T00:00:00"/>
    <n v="10"/>
    <n v="0.702645841021446"/>
    <d v="2023-01-02T00:00:00"/>
    <n v="0.369783832169231"/>
  </r>
  <r>
    <x v="48"/>
    <x v="5"/>
    <x v="4"/>
    <d v="2021-11-02T00:00:00"/>
    <n v="3"/>
    <n v="6.7860349366877903E-2"/>
    <d v="2023-04-10T00:00:00"/>
    <n v="0.67274821533457596"/>
  </r>
  <r>
    <x v="49"/>
    <x v="13"/>
    <x v="12"/>
    <d v="2021-12-30T00:00:00"/>
    <n v="9"/>
    <n v="0.407593318710052"/>
    <d v="2023-03-03T00:00:00"/>
    <n v="0.63816582309695902"/>
  </r>
  <r>
    <x v="50"/>
    <x v="15"/>
    <x v="14"/>
    <d v="2021-06-14T00:00:00"/>
    <n v="4"/>
    <n v="0.52920695915069904"/>
    <d v="2023-02-19T00:00:00"/>
    <n v="0.13238552807963799"/>
  </r>
  <r>
    <x v="51"/>
    <x v="3"/>
    <x v="2"/>
    <d v="2021-05-27T00:00:00"/>
    <n v="1"/>
    <n v="0.83003541427247696"/>
    <d v="2023-02-08T00:00:00"/>
    <n v="0.52621974753425005"/>
  </r>
  <r>
    <x v="52"/>
    <x v="3"/>
    <x v="2"/>
    <d v="2021-07-05T00:00:00"/>
    <n v="9"/>
    <n v="0.13503720101241901"/>
    <d v="2023-04-01T00:00:00"/>
    <n v="0.85749627053317901"/>
  </r>
  <r>
    <x v="53"/>
    <x v="13"/>
    <x v="12"/>
    <d v="2022-04-29T00:00:00"/>
    <n v="2"/>
    <n v="0.18457397753690899"/>
    <d v="2023-03-19T00:00:00"/>
    <n v="0.74032989684219797"/>
  </r>
  <r>
    <x v="54"/>
    <x v="5"/>
    <x v="4"/>
    <d v="2022-09-12T00:00:00"/>
    <n v="7"/>
    <n v="1.4827494446379701E-2"/>
    <d v="2023-02-21T00:00:00"/>
    <n v="0.41833053891377597"/>
  </r>
  <r>
    <x v="55"/>
    <x v="6"/>
    <x v="5"/>
    <d v="2021-03-23T00:00:00"/>
    <n v="4"/>
    <n v="0.27577765609607802"/>
    <d v="2023-05-25T00:00:00"/>
    <n v="0.84349820990746505"/>
  </r>
  <r>
    <x v="56"/>
    <x v="10"/>
    <x v="9"/>
    <d v="2022-04-16T00:00:00"/>
    <n v="2"/>
    <n v="1.4798370860461801E-2"/>
    <d v="2023-03-26T00:00:00"/>
    <n v="0.65581817056759795"/>
  </r>
  <r>
    <x v="57"/>
    <x v="16"/>
    <x v="11"/>
    <d v="2021-08-12T00:00:00"/>
    <n v="4"/>
    <n v="0.71929697815108395"/>
    <d v="2023-04-13T00:00:00"/>
    <n v="5.4091466872212501E-2"/>
  </r>
  <r>
    <x v="58"/>
    <x v="8"/>
    <x v="7"/>
    <d v="2022-12-27T00:00:00"/>
    <n v="6"/>
    <n v="0.45894107528788403"/>
    <d v="2023-01-26T00:00:00"/>
    <n v="0.64879966285478297"/>
  </r>
  <r>
    <x v="59"/>
    <x v="19"/>
    <x v="16"/>
    <d v="2021-06-09T00:00:00"/>
    <n v="6"/>
    <n v="0.75369284563293804"/>
    <d v="2023-03-15T00:00:00"/>
    <n v="0.95310350121023102"/>
  </r>
  <r>
    <x v="60"/>
    <x v="9"/>
    <x v="8"/>
    <d v="2021-04-29T00:00:00"/>
    <n v="7"/>
    <n v="0.73835370024837998"/>
    <d v="2023-04-04T00:00:00"/>
    <n v="0.10264222958663"/>
  </r>
  <r>
    <x v="61"/>
    <x v="1"/>
    <x v="1"/>
    <d v="2022-10-26T00:00:00"/>
    <n v="8"/>
    <n v="0.585256316656942"/>
    <d v="2023-04-25T00:00:00"/>
    <n v="0.63534355964006295"/>
  </r>
  <r>
    <x v="62"/>
    <x v="14"/>
    <x v="13"/>
    <d v="2021-05-24T00:00:00"/>
    <n v="9"/>
    <n v="0.87646719833682096"/>
    <d v="2023-01-31T00:00:00"/>
    <n v="0.32932752883912297"/>
  </r>
  <r>
    <x v="63"/>
    <x v="8"/>
    <x v="7"/>
    <d v="2022-07-31T00:00:00"/>
    <n v="5"/>
    <n v="0.68720157697523698"/>
    <d v="2023-05-08T00:00:00"/>
    <n v="0.79990973215818495"/>
  </r>
  <r>
    <x v="64"/>
    <x v="6"/>
    <x v="5"/>
    <d v="2021-05-31T00:00:00"/>
    <n v="1"/>
    <n v="0.48588703608226103"/>
    <d v="2023-04-19T00:00:00"/>
    <n v="0.45518918214522902"/>
  </r>
  <r>
    <x v="65"/>
    <x v="16"/>
    <x v="11"/>
    <d v="2022-04-08T00:00:00"/>
    <n v="2"/>
    <n v="0.68555193640676504"/>
    <d v="2023-03-29T00:00:00"/>
    <n v="0.40035912772023502"/>
  </r>
  <r>
    <x v="66"/>
    <x v="14"/>
    <x v="13"/>
    <d v="2022-04-28T00:00:00"/>
    <n v="1"/>
    <n v="0.574831092396204"/>
    <d v="2023-01-10T00:00:00"/>
    <n v="0.14703843884491"/>
  </r>
  <r>
    <x v="67"/>
    <x v="18"/>
    <x v="14"/>
    <d v="2022-08-27T00:00:00"/>
    <n v="4"/>
    <n v="0.89057060464664195"/>
    <d v="2023-03-19T00:00:00"/>
    <n v="0.24766978894018499"/>
  </r>
  <r>
    <x v="68"/>
    <x v="0"/>
    <x v="0"/>
    <d v="2022-11-24T00:00:00"/>
    <n v="4"/>
    <n v="0.64606533640427699"/>
    <d v="2023-02-20T00:00:00"/>
    <n v="0.75502767909149604"/>
  </r>
  <r>
    <x v="69"/>
    <x v="19"/>
    <x v="16"/>
    <d v="2022-01-13T00:00:00"/>
    <n v="5"/>
    <n v="2.4408043245797401E-2"/>
    <d v="2023-04-25T00:00:00"/>
    <n v="0.11842008103757801"/>
  </r>
  <r>
    <x v="70"/>
    <x v="15"/>
    <x v="14"/>
    <d v="2022-07-10T00:00:00"/>
    <n v="1"/>
    <n v="0.144587962809021"/>
    <d v="2023-02-17T00:00:00"/>
    <n v="0.22337306376263399"/>
  </r>
  <r>
    <x v="71"/>
    <x v="11"/>
    <x v="10"/>
    <d v="2022-08-13T00:00:00"/>
    <n v="7"/>
    <n v="1.31744392227479E-2"/>
    <d v="2023-04-14T00:00:00"/>
    <n v="0.97185682841004495"/>
  </r>
  <r>
    <x v="72"/>
    <x v="4"/>
    <x v="3"/>
    <d v="2022-03-24T00:00:00"/>
    <n v="4"/>
    <n v="0.81530857906975795"/>
    <d v="2023-01-28T00:00:00"/>
    <n v="0.48260987316073201"/>
  </r>
  <r>
    <x v="73"/>
    <x v="3"/>
    <x v="2"/>
    <d v="2021-12-24T00:00:00"/>
    <n v="6"/>
    <n v="0.15491081045699601"/>
    <d v="2023-05-18T00:00:00"/>
    <n v="0.76802453424894601"/>
  </r>
  <r>
    <x v="74"/>
    <x v="14"/>
    <x v="13"/>
    <d v="2022-05-25T00:00:00"/>
    <n v="1"/>
    <n v="0.269555056043635"/>
    <d v="2023-03-15T00:00:00"/>
    <n v="0.122182361751799"/>
  </r>
  <r>
    <x v="75"/>
    <x v="2"/>
    <x v="0"/>
    <d v="2022-08-21T00:00:00"/>
    <n v="3"/>
    <n v="0.71512622981990404"/>
    <d v="2023-04-07T00:00:00"/>
    <n v="2.82332058926804E-3"/>
  </r>
  <r>
    <x v="76"/>
    <x v="8"/>
    <x v="7"/>
    <d v="2021-08-15T00:00:00"/>
    <n v="5"/>
    <n v="0.517478802978105"/>
    <d v="2023-03-06T00:00:00"/>
    <n v="0.194941670945359"/>
  </r>
  <r>
    <x v="77"/>
    <x v="14"/>
    <x v="13"/>
    <d v="2021-03-15T00:00:00"/>
    <n v="3"/>
    <n v="0.98933192835650696"/>
    <d v="2023-01-26T00:00:00"/>
    <n v="0.116747383128981"/>
  </r>
  <r>
    <x v="78"/>
    <x v="17"/>
    <x v="15"/>
    <d v="2022-10-18T00:00:00"/>
    <n v="5"/>
    <n v="0.32415684712172899"/>
    <d v="2023-05-05T00:00:00"/>
    <n v="0.28398523541759901"/>
  </r>
  <r>
    <x v="79"/>
    <x v="0"/>
    <x v="0"/>
    <d v="2021-05-27T00:00:00"/>
    <n v="6"/>
    <n v="0.64559425958074801"/>
    <d v="2023-05-11T00:00:00"/>
    <n v="0.74976354481356899"/>
  </r>
  <r>
    <x v="80"/>
    <x v="19"/>
    <x v="16"/>
    <d v="2022-03-23T00:00:00"/>
    <n v="10"/>
    <n v="0.13502577444900801"/>
    <d v="2023-05-04T00:00:00"/>
    <n v="9.7289928257875094E-2"/>
  </r>
  <r>
    <x v="81"/>
    <x v="10"/>
    <x v="9"/>
    <d v="2021-06-06T00:00:00"/>
    <n v="8"/>
    <n v="0.74864767306151003"/>
    <d v="2023-05-29T00:00:00"/>
    <n v="0.91487830622236999"/>
  </r>
  <r>
    <x v="82"/>
    <x v="12"/>
    <x v="11"/>
    <d v="2022-05-22T00:00:00"/>
    <n v="1"/>
    <n v="0.105161391848884"/>
    <d v="2023-05-08T00:00:00"/>
    <n v="0.22690729464404399"/>
  </r>
  <r>
    <x v="83"/>
    <x v="20"/>
    <x v="3"/>
    <d v="2022-06-30T00:00:00"/>
    <n v="6"/>
    <n v="0.11408685507641"/>
    <d v="2023-01-28T00:00:00"/>
    <n v="0.33571676903915298"/>
  </r>
  <r>
    <x v="84"/>
    <x v="15"/>
    <x v="14"/>
    <d v="2022-02-08T00:00:00"/>
    <n v="1"/>
    <n v="0.58372843681935904"/>
    <d v="2023-03-12T00:00:00"/>
    <n v="0.38186645762982302"/>
  </r>
  <r>
    <x v="85"/>
    <x v="20"/>
    <x v="3"/>
    <d v="2022-06-09T00:00:00"/>
    <n v="6"/>
    <n v="1.6069181318315098E-2"/>
    <d v="2023-01-02T00:00:00"/>
    <n v="0.93551003990677095"/>
  </r>
  <r>
    <x v="86"/>
    <x v="19"/>
    <x v="16"/>
    <d v="2021-12-14T00:00:00"/>
    <n v="7"/>
    <n v="0.77483286137645402"/>
    <d v="2023-02-20T00:00:00"/>
    <n v="0.83972936204120796"/>
  </r>
  <r>
    <x v="87"/>
    <x v="8"/>
    <x v="7"/>
    <d v="2021-04-18T00:00:00"/>
    <n v="6"/>
    <n v="0.83415711448827101"/>
    <d v="2023-04-16T00:00:00"/>
    <n v="0.73754903864989096"/>
  </r>
  <r>
    <x v="88"/>
    <x v="2"/>
    <x v="0"/>
    <d v="2021-03-30T00:00:00"/>
    <n v="7"/>
    <n v="0.27349998025771599"/>
    <d v="2023-05-10T00:00:00"/>
    <n v="0.398707058551939"/>
  </r>
  <r>
    <x v="89"/>
    <x v="4"/>
    <x v="3"/>
    <d v="2021-03-24T00:00:00"/>
    <n v="10"/>
    <n v="0.17894362318854701"/>
    <d v="2023-04-10T00:00:00"/>
    <n v="0.27983535659688702"/>
  </r>
  <r>
    <x v="90"/>
    <x v="0"/>
    <x v="0"/>
    <d v="2021-01-10T00:00:00"/>
    <n v="2"/>
    <n v="0.90504227111458202"/>
    <d v="2023-01-31T00:00:00"/>
    <n v="0.45883084719257899"/>
  </r>
  <r>
    <x v="91"/>
    <x v="14"/>
    <x v="13"/>
    <d v="2021-12-27T00:00:00"/>
    <n v="4"/>
    <n v="3.6105377236760302E-3"/>
    <d v="2023-03-08T00:00:00"/>
    <n v="0.430410454177235"/>
  </r>
  <r>
    <x v="92"/>
    <x v="18"/>
    <x v="14"/>
    <d v="2021-06-19T00:00:00"/>
    <n v="2"/>
    <n v="0.256532208615462"/>
    <d v="2023-02-18T00:00:00"/>
    <n v="0.25683090454434099"/>
  </r>
  <r>
    <x v="93"/>
    <x v="19"/>
    <x v="16"/>
    <d v="2021-02-23T00:00:00"/>
    <n v="5"/>
    <n v="0.70021844930653598"/>
    <d v="2023-03-23T00:00:00"/>
    <n v="0.61187665279577597"/>
  </r>
  <r>
    <x v="94"/>
    <x v="4"/>
    <x v="3"/>
    <d v="2021-02-08T00:00:00"/>
    <n v="2"/>
    <n v="0.86236623667253698"/>
    <d v="2023-03-30T00:00:00"/>
    <n v="0.56413054876588398"/>
  </r>
  <r>
    <x v="95"/>
    <x v="20"/>
    <x v="3"/>
    <d v="2022-08-01T00:00:00"/>
    <n v="5"/>
    <n v="0.309379274915278"/>
    <d v="2023-03-30T00:00:00"/>
    <n v="6.4512653240185102E-3"/>
  </r>
  <r>
    <x v="96"/>
    <x v="19"/>
    <x v="16"/>
    <d v="2021-07-19T00:00:00"/>
    <n v="7"/>
    <n v="0.55211790295911001"/>
    <d v="2023-03-26T00:00:00"/>
    <n v="0.33871055216854301"/>
  </r>
  <r>
    <x v="97"/>
    <x v="20"/>
    <x v="3"/>
    <d v="2021-10-22T00:00:00"/>
    <n v="4"/>
    <n v="0.20150989296011099"/>
    <d v="2023-05-21T00:00:00"/>
    <n v="0.23936851527945999"/>
  </r>
  <r>
    <x v="98"/>
    <x v="2"/>
    <x v="0"/>
    <d v="2021-12-04T00:00:00"/>
    <n v="5"/>
    <n v="0.18484009932934201"/>
    <d v="2023-01-26T00:00:00"/>
    <n v="0.17511595791935999"/>
  </r>
  <r>
    <x v="99"/>
    <x v="7"/>
    <x v="6"/>
    <d v="2022-11-07T00:00:00"/>
    <n v="6"/>
    <n v="0.34955930087119302"/>
    <d v="2023-01-03T00:00:00"/>
    <n v="0.53327527116873796"/>
  </r>
  <r>
    <x v="100"/>
    <x v="19"/>
    <x v="16"/>
    <d v="2021-09-29T00:00:00"/>
    <n v="3"/>
    <n v="0.93189165277683395"/>
    <d v="2023-02-05T00:00:00"/>
    <n v="2.43785689040747E-2"/>
  </r>
  <r>
    <x v="101"/>
    <x v="17"/>
    <x v="15"/>
    <d v="2022-12-26T00:00:00"/>
    <n v="10"/>
    <n v="0.68735083469695002"/>
    <d v="2023-03-05T00:00:00"/>
    <n v="0.41787841201432302"/>
  </r>
  <r>
    <x v="102"/>
    <x v="9"/>
    <x v="8"/>
    <d v="2022-02-13T00:00:00"/>
    <n v="5"/>
    <n v="0.17493546348643599"/>
    <d v="2023-03-16T00:00:00"/>
    <n v="0.83666855090333903"/>
  </r>
  <r>
    <x v="103"/>
    <x v="19"/>
    <x v="16"/>
    <d v="2022-04-08T00:00:00"/>
    <n v="7"/>
    <n v="0.75215132834364595"/>
    <d v="2023-05-05T00:00:00"/>
    <n v="2.6168363795351798E-2"/>
  </r>
  <r>
    <x v="104"/>
    <x v="9"/>
    <x v="8"/>
    <d v="2021-03-08T00:00:00"/>
    <n v="1"/>
    <n v="0.30953917056170199"/>
    <d v="2023-05-12T00:00:00"/>
    <n v="0.66043948995340296"/>
  </r>
  <r>
    <x v="105"/>
    <x v="15"/>
    <x v="14"/>
    <d v="2021-08-14T00:00:00"/>
    <n v="10"/>
    <n v="0.62147829765565299"/>
    <d v="2023-04-29T00:00:00"/>
    <n v="0.44466276095616802"/>
  </r>
  <r>
    <x v="106"/>
    <x v="14"/>
    <x v="13"/>
    <d v="2022-12-08T00:00:00"/>
    <n v="7"/>
    <n v="0.60752716500644899"/>
    <d v="2023-04-13T00:00:00"/>
    <n v="0.90286839870973001"/>
  </r>
  <r>
    <x v="107"/>
    <x v="11"/>
    <x v="10"/>
    <d v="2022-09-06T00:00:00"/>
    <n v="10"/>
    <n v="8.0126723415399101E-2"/>
    <d v="2023-02-16T00:00:00"/>
    <n v="0.51635999068168204"/>
  </r>
  <r>
    <x v="108"/>
    <x v="4"/>
    <x v="3"/>
    <d v="2022-06-04T00:00:00"/>
    <n v="1"/>
    <n v="0.165768699711766"/>
    <d v="2023-02-01T00:00:00"/>
    <n v="0.35219920122081899"/>
  </r>
  <r>
    <x v="109"/>
    <x v="14"/>
    <x v="13"/>
    <d v="2021-03-21T00:00:00"/>
    <n v="7"/>
    <n v="0.95038285910889397"/>
    <d v="2023-05-21T00:00:00"/>
    <n v="0.493774747227402"/>
  </r>
  <r>
    <x v="110"/>
    <x v="3"/>
    <x v="2"/>
    <d v="2022-05-28T00:00:00"/>
    <n v="8"/>
    <n v="0.34324624551472199"/>
    <d v="2023-02-23T00:00:00"/>
    <n v="5.5941217861464797E-2"/>
  </r>
  <r>
    <x v="111"/>
    <x v="14"/>
    <x v="13"/>
    <d v="2022-12-12T00:00:00"/>
    <n v="9"/>
    <n v="0.88394112549340798"/>
    <d v="2023-01-23T00:00:00"/>
    <n v="0.170650898099275"/>
  </r>
  <r>
    <x v="112"/>
    <x v="1"/>
    <x v="1"/>
    <d v="2022-01-17T00:00:00"/>
    <n v="2"/>
    <n v="0.19124266932346201"/>
    <d v="2023-01-27T00:00:00"/>
    <n v="0.44988838372928502"/>
  </r>
  <r>
    <x v="113"/>
    <x v="10"/>
    <x v="9"/>
    <d v="2021-05-08T00:00:00"/>
    <n v="9"/>
    <n v="0.70237024955138705"/>
    <d v="2023-04-23T00:00:00"/>
    <n v="0.23474526869976101"/>
  </r>
  <r>
    <x v="114"/>
    <x v="5"/>
    <x v="4"/>
    <d v="2021-09-25T00:00:00"/>
    <n v="1"/>
    <n v="0.47664293083306503"/>
    <d v="2023-03-13T00:00:00"/>
    <n v="0.23032087534575099"/>
  </r>
  <r>
    <x v="115"/>
    <x v="15"/>
    <x v="14"/>
    <d v="2022-01-20T00:00:00"/>
    <n v="8"/>
    <n v="0.52894618812607497"/>
    <d v="2023-03-13T00:00:00"/>
    <n v="0.14894391596640999"/>
  </r>
  <r>
    <x v="116"/>
    <x v="19"/>
    <x v="16"/>
    <d v="2022-02-03T00:00:00"/>
    <n v="1"/>
    <n v="0.90771622925444195"/>
    <d v="2023-01-30T00:00:00"/>
    <n v="0.76439006848756197"/>
  </r>
  <r>
    <x v="117"/>
    <x v="13"/>
    <x v="12"/>
    <d v="2022-03-05T00:00:00"/>
    <n v="4"/>
    <n v="0.93532778717298004"/>
    <d v="2023-01-07T00:00:00"/>
    <n v="2.9378328012187802E-2"/>
  </r>
  <r>
    <x v="118"/>
    <x v="0"/>
    <x v="0"/>
    <d v="2022-08-28T00:00:00"/>
    <n v="6"/>
    <n v="0.103932010083317"/>
    <d v="2023-02-28T00:00:00"/>
    <n v="6.0761804468123501E-5"/>
  </r>
  <r>
    <x v="119"/>
    <x v="2"/>
    <x v="0"/>
    <d v="2022-01-28T00:00:00"/>
    <n v="3"/>
    <n v="0.33696098865178298"/>
    <d v="2023-04-18T00:00:00"/>
    <n v="0.68587611661549097"/>
  </r>
  <r>
    <x v="120"/>
    <x v="11"/>
    <x v="10"/>
    <d v="2022-06-21T00:00:00"/>
    <n v="9"/>
    <n v="0.32825674154548301"/>
    <d v="2023-02-24T00:00:00"/>
    <n v="0.48045519677837101"/>
  </r>
  <r>
    <x v="121"/>
    <x v="3"/>
    <x v="2"/>
    <d v="2022-11-14T00:00:00"/>
    <n v="10"/>
    <n v="0.47307005712237998"/>
    <d v="2023-01-11T00:00:00"/>
    <n v="0.10169187940690801"/>
  </r>
  <r>
    <x v="122"/>
    <x v="8"/>
    <x v="7"/>
    <d v="2021-06-24T00:00:00"/>
    <n v="9"/>
    <n v="0.71248835178386805"/>
    <d v="2023-02-18T00:00:00"/>
    <n v="0.42914106932160101"/>
  </r>
  <r>
    <x v="123"/>
    <x v="6"/>
    <x v="5"/>
    <d v="2022-08-19T00:00:00"/>
    <n v="1"/>
    <n v="0.87147093954098998"/>
    <d v="2023-02-10T00:00:00"/>
    <n v="0.35443622359295701"/>
  </r>
  <r>
    <x v="124"/>
    <x v="1"/>
    <x v="1"/>
    <d v="2021-03-17T00:00:00"/>
    <n v="6"/>
    <n v="5.4464754581670202E-2"/>
    <d v="2023-03-28T00:00:00"/>
    <n v="0.49434155447053002"/>
  </r>
  <r>
    <x v="125"/>
    <x v="19"/>
    <x v="16"/>
    <d v="2022-11-21T00:00:00"/>
    <n v="8"/>
    <n v="0.46539821567982897"/>
    <d v="2023-04-22T00:00:00"/>
    <n v="0.39766402949830199"/>
  </r>
  <r>
    <x v="126"/>
    <x v="14"/>
    <x v="13"/>
    <d v="2021-07-03T00:00:00"/>
    <n v="2"/>
    <n v="0.41769016811982401"/>
    <d v="2023-03-05T00:00:00"/>
    <n v="0.67060305745283799"/>
  </r>
  <r>
    <x v="127"/>
    <x v="11"/>
    <x v="10"/>
    <d v="2022-04-10T00:00:00"/>
    <n v="5"/>
    <n v="0.90898321519765801"/>
    <d v="2023-05-21T00:00:00"/>
    <n v="0.71076510162728801"/>
  </r>
  <r>
    <x v="128"/>
    <x v="19"/>
    <x v="16"/>
    <d v="2021-04-11T00:00:00"/>
    <n v="2"/>
    <n v="2.2277472344418001E-2"/>
    <d v="2023-05-07T00:00:00"/>
    <n v="0.31572522679826798"/>
  </r>
  <r>
    <x v="129"/>
    <x v="2"/>
    <x v="0"/>
    <d v="2021-01-27T00:00:00"/>
    <n v="10"/>
    <n v="4.84656763549157E-2"/>
    <d v="2023-04-25T00:00:00"/>
    <n v="0.76568330987062005"/>
  </r>
  <r>
    <x v="130"/>
    <x v="17"/>
    <x v="15"/>
    <d v="2022-02-24T00:00:00"/>
    <n v="10"/>
    <n v="0.29076178482231801"/>
    <d v="2023-01-19T00:00:00"/>
    <n v="0.33143123502147698"/>
  </r>
  <r>
    <x v="131"/>
    <x v="18"/>
    <x v="14"/>
    <d v="2021-07-21T00:00:00"/>
    <n v="6"/>
    <n v="0.74483031602755301"/>
    <d v="2023-05-21T00:00:00"/>
    <n v="0.45618689536000101"/>
  </r>
  <r>
    <x v="132"/>
    <x v="7"/>
    <x v="6"/>
    <d v="2021-02-17T00:00:00"/>
    <n v="2"/>
    <n v="0.55145811024395297"/>
    <d v="2023-01-12T00:00:00"/>
    <n v="0.43942741221319298"/>
  </r>
  <r>
    <x v="133"/>
    <x v="8"/>
    <x v="7"/>
    <d v="2022-06-03T00:00:00"/>
    <n v="2"/>
    <n v="0.75204781971908696"/>
    <d v="2023-03-31T00:00:00"/>
    <n v="0.46296822834011098"/>
  </r>
  <r>
    <x v="134"/>
    <x v="15"/>
    <x v="14"/>
    <d v="2021-01-29T00:00:00"/>
    <n v="7"/>
    <n v="0.47691846634392299"/>
    <d v="2023-02-24T00:00:00"/>
    <n v="0.46204966570717498"/>
  </r>
  <r>
    <x v="135"/>
    <x v="20"/>
    <x v="3"/>
    <d v="2021-09-03T00:00:00"/>
    <n v="9"/>
    <n v="0.351563700735118"/>
    <d v="2023-04-07T00:00:00"/>
    <n v="0.95442216883254405"/>
  </r>
  <r>
    <x v="136"/>
    <x v="8"/>
    <x v="7"/>
    <d v="2022-11-13T00:00:00"/>
    <n v="3"/>
    <n v="0.708252824575899"/>
    <d v="2023-05-01T00:00:00"/>
    <n v="0.25743349659995701"/>
  </r>
  <r>
    <x v="137"/>
    <x v="13"/>
    <x v="12"/>
    <d v="2021-12-05T00:00:00"/>
    <n v="6"/>
    <n v="8.1168066351901699E-2"/>
    <d v="2023-03-19T00:00:00"/>
    <n v="0.51544985308443603"/>
  </r>
  <r>
    <x v="138"/>
    <x v="17"/>
    <x v="15"/>
    <d v="2022-09-11T00:00:00"/>
    <n v="3"/>
    <n v="0.44727279397540398"/>
    <d v="2023-02-04T00:00:00"/>
    <n v="0.72124646028638995"/>
  </r>
  <r>
    <x v="139"/>
    <x v="7"/>
    <x v="6"/>
    <d v="2022-05-09T00:00:00"/>
    <n v="5"/>
    <n v="0.55996144918041602"/>
    <d v="2023-02-25T00:00:00"/>
    <n v="4.0845294204603297E-3"/>
  </r>
  <r>
    <x v="140"/>
    <x v="20"/>
    <x v="3"/>
    <d v="2021-11-21T00:00:00"/>
    <n v="4"/>
    <n v="0.56230632063577901"/>
    <d v="2023-05-14T00:00:00"/>
    <n v="0.68743114384612203"/>
  </r>
  <r>
    <x v="141"/>
    <x v="7"/>
    <x v="6"/>
    <d v="2022-07-27T00:00:00"/>
    <n v="5"/>
    <n v="0.72618042932337601"/>
    <d v="2023-03-28T00:00:00"/>
    <n v="0.31138195774945998"/>
  </r>
  <r>
    <x v="142"/>
    <x v="16"/>
    <x v="11"/>
    <d v="2021-01-10T00:00:00"/>
    <n v="3"/>
    <n v="0.113699112632604"/>
    <d v="2023-03-27T00:00:00"/>
    <n v="3.0869795040312301E-2"/>
  </r>
  <r>
    <x v="143"/>
    <x v="20"/>
    <x v="3"/>
    <d v="2022-09-18T00:00:00"/>
    <n v="1"/>
    <n v="8.6409222229514596E-2"/>
    <d v="2023-01-19T00:00:00"/>
    <n v="0.720395287309052"/>
  </r>
  <r>
    <x v="144"/>
    <x v="16"/>
    <x v="11"/>
    <d v="2021-10-15T00:00:00"/>
    <n v="4"/>
    <n v="0.573839853564304"/>
    <d v="2023-05-04T00:00:00"/>
    <n v="0.74143260510805697"/>
  </r>
  <r>
    <x v="145"/>
    <x v="6"/>
    <x v="5"/>
    <d v="2022-06-22T00:00:00"/>
    <n v="10"/>
    <n v="5.8312359538940997E-2"/>
    <d v="2023-04-25T00:00:00"/>
    <n v="0.50418526458823998"/>
  </r>
  <r>
    <x v="146"/>
    <x v="13"/>
    <x v="12"/>
    <d v="2021-10-11T00:00:00"/>
    <n v="7"/>
    <n v="0.717702757066082"/>
    <d v="2023-01-10T00:00:00"/>
    <n v="0.1182538345041"/>
  </r>
  <r>
    <x v="147"/>
    <x v="5"/>
    <x v="4"/>
    <d v="2021-12-04T00:00:00"/>
    <n v="1"/>
    <n v="0.29181649358212502"/>
    <d v="2023-01-18T00:00:00"/>
    <n v="0.59525600260086198"/>
  </r>
  <r>
    <x v="148"/>
    <x v="14"/>
    <x v="13"/>
    <d v="2022-02-24T00:00:00"/>
    <n v="7"/>
    <n v="0.41475447056245102"/>
    <d v="2023-03-07T00:00:00"/>
    <n v="0.41302964862980401"/>
  </r>
  <r>
    <x v="149"/>
    <x v="1"/>
    <x v="1"/>
    <d v="2022-07-24T00:00:00"/>
    <n v="3"/>
    <n v="0.273622029983696"/>
    <d v="2023-04-10T00:00:00"/>
    <n v="0.28004873586635498"/>
  </r>
  <r>
    <x v="150"/>
    <x v="19"/>
    <x v="16"/>
    <d v="2022-10-23T00:00:00"/>
    <n v="5"/>
    <n v="0.36944159210677702"/>
    <d v="2023-01-18T00:00:00"/>
    <n v="0.83598479662907399"/>
  </r>
  <r>
    <x v="151"/>
    <x v="19"/>
    <x v="16"/>
    <d v="2022-02-15T00:00:00"/>
    <n v="1"/>
    <n v="0.58311714000128001"/>
    <d v="2023-03-01T00:00:00"/>
    <n v="0.132094119226041"/>
  </r>
  <r>
    <x v="152"/>
    <x v="8"/>
    <x v="7"/>
    <d v="2021-04-26T00:00:00"/>
    <n v="6"/>
    <n v="0.65300297719761102"/>
    <d v="2023-03-28T00:00:00"/>
    <n v="0.67542025364515701"/>
  </r>
  <r>
    <x v="153"/>
    <x v="16"/>
    <x v="11"/>
    <d v="2022-05-03T00:00:00"/>
    <n v="8"/>
    <n v="0.29111039384551202"/>
    <d v="2023-03-18T00:00:00"/>
    <n v="0.67736656660512595"/>
  </r>
  <r>
    <x v="154"/>
    <x v="16"/>
    <x v="11"/>
    <d v="2021-02-13T00:00:00"/>
    <n v="4"/>
    <n v="0.112536236136402"/>
    <d v="2023-05-05T00:00:00"/>
    <n v="0.73892418680528005"/>
  </r>
  <r>
    <x v="155"/>
    <x v="8"/>
    <x v="7"/>
    <d v="2022-01-18T00:00:00"/>
    <n v="9"/>
    <n v="0.15192205963339001"/>
    <d v="2023-03-14T00:00:00"/>
    <n v="0.20150857478536399"/>
  </r>
  <r>
    <x v="156"/>
    <x v="19"/>
    <x v="16"/>
    <d v="2022-09-26T00:00:00"/>
    <n v="2"/>
    <n v="0.28151547287029699"/>
    <d v="2023-02-14T00:00:00"/>
    <n v="0.112845737208008"/>
  </r>
  <r>
    <x v="157"/>
    <x v="0"/>
    <x v="0"/>
    <d v="2022-01-19T00:00:00"/>
    <n v="2"/>
    <n v="0.47294292208057698"/>
    <d v="2023-04-07T00:00:00"/>
    <n v="0.79212265204075905"/>
  </r>
  <r>
    <x v="158"/>
    <x v="0"/>
    <x v="0"/>
    <d v="2022-02-13T00:00:00"/>
    <n v="2"/>
    <n v="0.95827680251471803"/>
    <d v="2023-03-24T00:00:00"/>
    <n v="0.89660265479322399"/>
  </r>
  <r>
    <x v="159"/>
    <x v="9"/>
    <x v="8"/>
    <d v="2022-02-12T00:00:00"/>
    <n v="2"/>
    <n v="0.27963347908695002"/>
    <d v="2023-01-23T00:00:00"/>
    <n v="0.24854191017697499"/>
  </r>
  <r>
    <x v="160"/>
    <x v="15"/>
    <x v="14"/>
    <d v="2021-03-02T00:00:00"/>
    <n v="8"/>
    <n v="0.434644149591145"/>
    <d v="2023-01-29T00:00:00"/>
    <n v="0.625342854199327"/>
  </r>
  <r>
    <x v="161"/>
    <x v="12"/>
    <x v="11"/>
    <d v="2022-07-03T00:00:00"/>
    <n v="5"/>
    <n v="0.74838580953710099"/>
    <d v="2023-02-23T00:00:00"/>
    <n v="0.56239389347784197"/>
  </r>
  <r>
    <x v="162"/>
    <x v="7"/>
    <x v="6"/>
    <d v="2022-12-21T00:00:00"/>
    <n v="6"/>
    <n v="0.48045901029779903"/>
    <d v="2023-05-18T00:00:00"/>
    <n v="0.433788778732414"/>
  </r>
  <r>
    <x v="163"/>
    <x v="14"/>
    <x v="13"/>
    <d v="2021-06-07T00:00:00"/>
    <n v="7"/>
    <n v="0.98744929724646802"/>
    <d v="2023-05-03T00:00:00"/>
    <n v="0.21163360381443899"/>
  </r>
  <r>
    <x v="164"/>
    <x v="0"/>
    <x v="0"/>
    <d v="2022-05-30T00:00:00"/>
    <n v="3"/>
    <n v="5.2479096578398297E-2"/>
    <d v="2023-05-23T00:00:00"/>
    <n v="5.8390055671951401E-2"/>
  </r>
  <r>
    <x v="165"/>
    <x v="12"/>
    <x v="11"/>
    <d v="2022-08-28T00:00:00"/>
    <n v="4"/>
    <n v="6.3638338964366797E-2"/>
    <d v="2023-03-29T00:00:00"/>
    <n v="0.82222519151117301"/>
  </r>
  <r>
    <x v="166"/>
    <x v="4"/>
    <x v="3"/>
    <d v="2021-11-15T00:00:00"/>
    <n v="3"/>
    <n v="7.0327700844507193E-2"/>
    <d v="2023-02-17T00:00:00"/>
    <n v="9.4112460113233404E-2"/>
  </r>
  <r>
    <x v="167"/>
    <x v="18"/>
    <x v="14"/>
    <d v="2022-12-02T00:00:00"/>
    <n v="3"/>
    <n v="0.95057620706778501"/>
    <d v="2023-04-24T00:00:00"/>
    <n v="0.96163422719710601"/>
  </r>
  <r>
    <x v="168"/>
    <x v="19"/>
    <x v="16"/>
    <d v="2022-12-08T00:00:00"/>
    <n v="1"/>
    <n v="0.48177369539871401"/>
    <d v="2023-04-30T00:00:00"/>
    <n v="0.92834498334210402"/>
  </r>
  <r>
    <x v="169"/>
    <x v="13"/>
    <x v="12"/>
    <d v="2021-01-08T00:00:00"/>
    <n v="2"/>
    <n v="0.43098053100217298"/>
    <d v="2023-01-22T00:00:00"/>
    <n v="0.43731221847381901"/>
  </r>
  <r>
    <x v="170"/>
    <x v="5"/>
    <x v="4"/>
    <d v="2021-08-31T00:00:00"/>
    <n v="8"/>
    <n v="0.59735476523394404"/>
    <d v="2023-02-25T00:00:00"/>
    <n v="0.16822758298431501"/>
  </r>
  <r>
    <x v="171"/>
    <x v="5"/>
    <x v="4"/>
    <d v="2021-09-10T00:00:00"/>
    <n v="6"/>
    <n v="0.26280269378864801"/>
    <d v="2023-03-29T00:00:00"/>
    <n v="0.14823080489066301"/>
  </r>
  <r>
    <x v="172"/>
    <x v="12"/>
    <x v="11"/>
    <d v="2022-08-06T00:00:00"/>
    <n v="4"/>
    <n v="0.90284110874477896"/>
    <d v="2023-03-23T00:00:00"/>
    <n v="0.63507569454438495"/>
  </r>
  <r>
    <x v="173"/>
    <x v="3"/>
    <x v="2"/>
    <d v="2021-02-14T00:00:00"/>
    <n v="6"/>
    <n v="0.98199261995326603"/>
    <d v="2023-03-09T00:00:00"/>
    <n v="0.54481123922804697"/>
  </r>
  <r>
    <x v="174"/>
    <x v="10"/>
    <x v="9"/>
    <d v="2021-02-02T00:00:00"/>
    <n v="3"/>
    <n v="0.84716039463076198"/>
    <d v="2023-05-21T00:00:00"/>
    <n v="1.3086187744415801E-2"/>
  </r>
  <r>
    <x v="175"/>
    <x v="20"/>
    <x v="3"/>
    <d v="2022-10-02T00:00:00"/>
    <n v="5"/>
    <n v="0.30637569785375002"/>
    <d v="2023-03-23T00:00:00"/>
    <n v="1.25503463839893E-3"/>
  </r>
  <r>
    <x v="176"/>
    <x v="12"/>
    <x v="11"/>
    <d v="2021-01-15T00:00:00"/>
    <n v="6"/>
    <n v="0.76879912576772802"/>
    <d v="2023-03-21T00:00:00"/>
    <n v="0.86548533755676105"/>
  </r>
  <r>
    <x v="177"/>
    <x v="8"/>
    <x v="7"/>
    <d v="2021-11-14T00:00:00"/>
    <n v="7"/>
    <n v="0.38563992038543599"/>
    <d v="2023-03-19T00:00:00"/>
    <n v="0.508902669316179"/>
  </r>
  <r>
    <x v="178"/>
    <x v="18"/>
    <x v="14"/>
    <d v="2021-04-23T00:00:00"/>
    <n v="8"/>
    <n v="0.85335977277591302"/>
    <d v="2023-04-05T00:00:00"/>
    <n v="0.99207281995433205"/>
  </r>
  <r>
    <x v="179"/>
    <x v="1"/>
    <x v="1"/>
    <d v="2021-04-03T00:00:00"/>
    <n v="5"/>
    <n v="0.28334897654743202"/>
    <d v="2023-02-08T00:00:00"/>
    <n v="0.63454053513977304"/>
  </r>
  <r>
    <x v="180"/>
    <x v="18"/>
    <x v="14"/>
    <d v="2022-01-11T00:00:00"/>
    <n v="3"/>
    <n v="0.117748642112043"/>
    <d v="2023-05-27T00:00:00"/>
    <n v="0.67092430905617095"/>
  </r>
  <r>
    <x v="181"/>
    <x v="9"/>
    <x v="8"/>
    <d v="2022-08-17T00:00:00"/>
    <n v="5"/>
    <n v="0.76783916519082696"/>
    <d v="2023-04-05T00:00:00"/>
    <n v="0.24099871039557799"/>
  </r>
  <r>
    <x v="182"/>
    <x v="9"/>
    <x v="8"/>
    <d v="2022-07-24T00:00:00"/>
    <n v="2"/>
    <n v="0.14806713315151801"/>
    <d v="2023-05-05T00:00:00"/>
    <n v="0.312315972509696"/>
  </r>
  <r>
    <x v="183"/>
    <x v="9"/>
    <x v="8"/>
    <d v="2022-01-16T00:00:00"/>
    <n v="7"/>
    <n v="7.8885651390256904E-3"/>
    <d v="2023-04-21T00:00:00"/>
    <n v="0.42001946730883299"/>
  </r>
  <r>
    <x v="184"/>
    <x v="17"/>
    <x v="15"/>
    <d v="2021-08-08T00:00:00"/>
    <n v="7"/>
    <n v="6.5026558074850402E-2"/>
    <d v="2023-03-20T00:00:00"/>
    <n v="0.566596656084567"/>
  </r>
  <r>
    <x v="185"/>
    <x v="2"/>
    <x v="0"/>
    <d v="2022-11-18T00:00:00"/>
    <n v="1"/>
    <n v="0.30777843623572698"/>
    <d v="2023-02-06T00:00:00"/>
    <n v="0.172453184843159"/>
  </r>
  <r>
    <x v="186"/>
    <x v="6"/>
    <x v="5"/>
    <d v="2021-01-18T00:00:00"/>
    <n v="5"/>
    <n v="0.1874453216227"/>
    <d v="2023-02-04T00:00:00"/>
    <n v="0.22911064366850301"/>
  </r>
  <r>
    <x v="187"/>
    <x v="10"/>
    <x v="9"/>
    <d v="2021-07-26T00:00:00"/>
    <n v="6"/>
    <n v="0.83300140406454304"/>
    <d v="2023-04-10T00:00:00"/>
    <n v="0.70242147925557197"/>
  </r>
  <r>
    <x v="188"/>
    <x v="8"/>
    <x v="7"/>
    <d v="2022-05-13T00:00:00"/>
    <n v="3"/>
    <n v="0.27727516856333601"/>
    <d v="2023-04-20T00:00:00"/>
    <n v="0.34199564672456301"/>
  </r>
  <r>
    <x v="189"/>
    <x v="0"/>
    <x v="0"/>
    <d v="2021-01-03T00:00:00"/>
    <n v="2"/>
    <n v="0.22356266053190499"/>
    <d v="2023-01-25T00:00:00"/>
    <n v="0.43217504342818902"/>
  </r>
  <r>
    <x v="190"/>
    <x v="11"/>
    <x v="10"/>
    <d v="2022-02-14T00:00:00"/>
    <n v="6"/>
    <n v="0.64447099494037297"/>
    <d v="2023-02-18T00:00:00"/>
    <n v="0.96567027076396705"/>
  </r>
  <r>
    <x v="191"/>
    <x v="12"/>
    <x v="11"/>
    <d v="2022-07-18T00:00:00"/>
    <n v="6"/>
    <n v="0.91937449423976403"/>
    <d v="2023-01-15T00:00:00"/>
    <n v="0.80855685548065803"/>
  </r>
  <r>
    <x v="192"/>
    <x v="16"/>
    <x v="11"/>
    <d v="2021-07-14T00:00:00"/>
    <n v="1"/>
    <n v="0.26377783191771698"/>
    <d v="2023-01-17T00:00:00"/>
    <n v="0.53464391868976202"/>
  </r>
  <r>
    <x v="193"/>
    <x v="6"/>
    <x v="5"/>
    <d v="2021-09-18T00:00:00"/>
    <n v="3"/>
    <n v="0.48376018648020602"/>
    <d v="2023-02-26T00:00:00"/>
    <n v="0.28976743361438201"/>
  </r>
  <r>
    <x v="194"/>
    <x v="14"/>
    <x v="13"/>
    <d v="2021-08-01T00:00:00"/>
    <n v="2"/>
    <n v="0.56649641364178105"/>
    <d v="2023-01-22T00:00:00"/>
    <n v="0.76019400248091895"/>
  </r>
  <r>
    <x v="195"/>
    <x v="19"/>
    <x v="16"/>
    <d v="2021-02-02T00:00:00"/>
    <n v="10"/>
    <n v="0.81758392927810297"/>
    <d v="2023-01-11T00:00:00"/>
    <n v="0.16419798109251399"/>
  </r>
  <r>
    <x v="196"/>
    <x v="11"/>
    <x v="10"/>
    <d v="2021-08-04T00:00:00"/>
    <n v="5"/>
    <n v="0.24147425161639699"/>
    <d v="2023-03-20T00:00:00"/>
    <n v="0.23302367858983999"/>
  </r>
  <r>
    <x v="197"/>
    <x v="14"/>
    <x v="13"/>
    <d v="2022-09-24T00:00:00"/>
    <n v="6"/>
    <n v="0.51291771398490105"/>
    <d v="2023-03-02T00:00:00"/>
    <n v="0.755021488484095"/>
  </r>
  <r>
    <x v="198"/>
    <x v="17"/>
    <x v="15"/>
    <d v="2022-06-30T00:00:00"/>
    <n v="9"/>
    <n v="0.30094368268289601"/>
    <d v="2023-04-21T00:00:00"/>
    <n v="0.55983002083455202"/>
  </r>
  <r>
    <x v="199"/>
    <x v="14"/>
    <x v="13"/>
    <d v="2021-11-02T00:00:00"/>
    <n v="8"/>
    <n v="0.91352809441905303"/>
    <d v="2023-02-21T00:00:00"/>
    <n v="0.137985792121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D00C2-4F62-4788-8165-A319E63CB764}" name="Tabella pivot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Region">
  <location ref="G1:I19" firstHeaderRow="0" firstDataRow="1" firstDataCol="1"/>
  <pivotFields count="8">
    <pivotField showAll="0"/>
    <pivotField axis="axisRow" dataField="1" showAll="0">
      <items count="22">
        <item x="19"/>
        <item x="14"/>
        <item x="0"/>
        <item x="8"/>
        <item x="4"/>
        <item x="11"/>
        <item x="10"/>
        <item x="6"/>
        <item x="5"/>
        <item x="13"/>
        <item x="15"/>
        <item x="20"/>
        <item x="2"/>
        <item x="18"/>
        <item x="9"/>
        <item x="12"/>
        <item x="16"/>
        <item x="3"/>
        <item x="17"/>
        <item x="1"/>
        <item x="7"/>
        <item t="default"/>
      </items>
    </pivotField>
    <pivotField axis="axisRow" showAll="0">
      <items count="18">
        <item sd="0" x="16"/>
        <item sd="0" x="13"/>
        <item sd="0" x="6"/>
        <item sd="0" x="11"/>
        <item sd="0" x="3"/>
        <item sd="0" x="7"/>
        <item sd="0" x="10"/>
        <item sd="0" x="0"/>
        <item sd="0" x="1"/>
        <item sd="0" x="9"/>
        <item sd="0" x="8"/>
        <item sd="0" x="5"/>
        <item sd="0" x="4"/>
        <item sd="0" x="2"/>
        <item sd="0" x="15"/>
        <item sd="0" x="12"/>
        <item sd="0" x="14"/>
        <item t="default"/>
      </items>
    </pivotField>
    <pivotField numFmtId="164" showAll="0"/>
    <pivotField dataField="1" showAll="0"/>
    <pivotField showAll="0"/>
    <pivotField numFmtId="164" showAll="0"/>
    <pivotField showAll="0"/>
  </pivotFields>
  <rowFields count="2">
    <field x="2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Stock exchange" fld="1" subtotal="count" baseField="0" baseItem="0"/>
    <dataField name="Somma di Quantity" fld="4" baseField="0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3_(stock_exchange)" TargetMode="External"/><Relationship Id="rId21" Type="http://schemas.openxmlformats.org/officeDocument/2006/relationships/hyperlink" Target="https://en.wikipedia.org/wiki/London_Stock_Exchange" TargetMode="External"/><Relationship Id="rId42" Type="http://schemas.openxmlformats.org/officeDocument/2006/relationships/hyperlink" Target="https://en.wikipedia.org/wiki/Tehran_Stock_Exchange" TargetMode="External"/><Relationship Id="rId63" Type="http://schemas.openxmlformats.org/officeDocument/2006/relationships/hyperlink" Target="https://en.wikipedia.org/wiki/Deutsche_B%C3%B6rse" TargetMode="External"/><Relationship Id="rId84" Type="http://schemas.openxmlformats.org/officeDocument/2006/relationships/hyperlink" Target="https://en.wikipedia.org/wiki/Deutsche_B%C3%B6rse" TargetMode="External"/><Relationship Id="rId138" Type="http://schemas.openxmlformats.org/officeDocument/2006/relationships/hyperlink" Target="https://en.wikipedia.org/wiki/B3_(stock_exchange)" TargetMode="External"/><Relationship Id="rId159" Type="http://schemas.openxmlformats.org/officeDocument/2006/relationships/hyperlink" Target="https://en.wikipedia.org/wiki/SIX_Swiss_Exchange" TargetMode="External"/><Relationship Id="rId170" Type="http://schemas.openxmlformats.org/officeDocument/2006/relationships/hyperlink" Target="https://en.wikipedia.org/wiki/Taiwan_Stock_Exchange" TargetMode="External"/><Relationship Id="rId107" Type="http://schemas.openxmlformats.org/officeDocument/2006/relationships/hyperlink" Target="https://en.wikipedia.org/wiki/Korea_Exchange" TargetMode="External"/><Relationship Id="rId11" Type="http://schemas.openxmlformats.org/officeDocument/2006/relationships/hyperlink" Target="https://en.wikipedia.org/wiki/Deutsche_B%C3%B6rse" TargetMode="External"/><Relationship Id="rId32" Type="http://schemas.openxmlformats.org/officeDocument/2006/relationships/hyperlink" Target="https://en.wikipedia.org/wiki/Shenzhen_Stock_Exchange" TargetMode="External"/><Relationship Id="rId53" Type="http://schemas.openxmlformats.org/officeDocument/2006/relationships/hyperlink" Target="https://en.wikipedia.org/wiki/SIX_Swiss_Exchange" TargetMode="External"/><Relationship Id="rId74" Type="http://schemas.openxmlformats.org/officeDocument/2006/relationships/hyperlink" Target="https://en.wikipedia.org/wiki/National_Stock_Exchange_of_India" TargetMode="External"/><Relationship Id="rId128" Type="http://schemas.openxmlformats.org/officeDocument/2006/relationships/hyperlink" Target="https://en.wikipedia.org/wiki/Taiwan_Stock_Exchange" TargetMode="External"/><Relationship Id="rId149" Type="http://schemas.openxmlformats.org/officeDocument/2006/relationships/hyperlink" Target="https://en.wikipedia.org/wiki/Toronto_Stock_Exchange" TargetMode="External"/><Relationship Id="rId5" Type="http://schemas.openxmlformats.org/officeDocument/2006/relationships/hyperlink" Target="https://en.wikipedia.org/wiki/Bombay_Stock_Exchange" TargetMode="External"/><Relationship Id="rId95" Type="http://schemas.openxmlformats.org/officeDocument/2006/relationships/hyperlink" Target="https://en.wikipedia.org/wiki/Taiwan_Stock_Exchange" TargetMode="External"/><Relationship Id="rId160" Type="http://schemas.openxmlformats.org/officeDocument/2006/relationships/hyperlink" Target="https://en.wikipedia.org/wiki/Japan_Exchange_Group" TargetMode="External"/><Relationship Id="rId181" Type="http://schemas.openxmlformats.org/officeDocument/2006/relationships/hyperlink" Target="https://en.wikipedia.org/wiki/Hong_Kong_Stock_Exchange" TargetMode="External"/><Relationship Id="rId22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64" Type="http://schemas.openxmlformats.org/officeDocument/2006/relationships/hyperlink" Target="https://en.wikipedia.org/wiki/JSE_Limited" TargetMode="External"/><Relationship Id="rId118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85" Type="http://schemas.openxmlformats.org/officeDocument/2006/relationships/hyperlink" Target="https://en.wikipedia.org/wiki/National_Stock_Exchange_of_India" TargetMode="External"/><Relationship Id="rId150" Type="http://schemas.openxmlformats.org/officeDocument/2006/relationships/hyperlink" Target="https://en.wikipedia.org/wiki/B3_(stock_exchange)" TargetMode="External"/><Relationship Id="rId171" Type="http://schemas.openxmlformats.org/officeDocument/2006/relationships/hyperlink" Target="https://en.wikipedia.org/wiki/National_Stock_Exchange_of_India" TargetMode="External"/><Relationship Id="rId12" Type="http://schemas.openxmlformats.org/officeDocument/2006/relationships/hyperlink" Target="https://en.wikipedia.org/wiki/Bombay_Stock_Exchange" TargetMode="External"/><Relationship Id="rId33" Type="http://schemas.openxmlformats.org/officeDocument/2006/relationships/hyperlink" Target="https://en.wikipedia.org/wiki/Taiwan_Stock_Exchange" TargetMode="External"/><Relationship Id="rId108" Type="http://schemas.openxmlformats.org/officeDocument/2006/relationships/hyperlink" Target="https://en.wikipedia.org/wiki/Nasdaq" TargetMode="External"/><Relationship Id="rId129" Type="http://schemas.openxmlformats.org/officeDocument/2006/relationships/hyperlink" Target="https://en.wikipedia.org/wiki/Toronto_Stock_Exchange" TargetMode="External"/><Relationship Id="rId54" Type="http://schemas.openxmlformats.org/officeDocument/2006/relationships/hyperlink" Target="https://en.wikipedia.org/wiki/London_Stock_Exchange" TargetMode="External"/><Relationship Id="rId75" Type="http://schemas.openxmlformats.org/officeDocument/2006/relationships/hyperlink" Target="https://en.wikipedia.org/wiki/Deutsche_B%C3%B6rse" TargetMode="External"/><Relationship Id="rId96" Type="http://schemas.openxmlformats.org/officeDocument/2006/relationships/hyperlink" Target="https://en.wikipedia.org/wiki/Tadawul" TargetMode="External"/><Relationship Id="rId140" Type="http://schemas.openxmlformats.org/officeDocument/2006/relationships/hyperlink" Target="https://en.wikipedia.org/wiki/Deutsche_B%C3%B6rse" TargetMode="External"/><Relationship Id="rId161" Type="http://schemas.openxmlformats.org/officeDocument/2006/relationships/hyperlink" Target="https://en.wikipedia.org/wiki/Nasdaq_Nordic" TargetMode="External"/><Relationship Id="rId182" Type="http://schemas.openxmlformats.org/officeDocument/2006/relationships/hyperlink" Target="https://en.wikipedia.org/wiki/B3_(stock_exchange)" TargetMode="External"/><Relationship Id="rId6" Type="http://schemas.openxmlformats.org/officeDocument/2006/relationships/hyperlink" Target="https://en.wikipedia.org/wiki/Euronext" TargetMode="External"/><Relationship Id="rId23" Type="http://schemas.openxmlformats.org/officeDocument/2006/relationships/hyperlink" Target="https://en.wikipedia.org/wiki/B3_(stock_exchange)" TargetMode="External"/><Relationship Id="rId119" Type="http://schemas.openxmlformats.org/officeDocument/2006/relationships/hyperlink" Target="https://en.wikipedia.org/wiki/National_Stock_Exchange_of_India" TargetMode="External"/><Relationship Id="rId44" Type="http://schemas.openxmlformats.org/officeDocument/2006/relationships/hyperlink" Target="https://en.wikipedia.org/wiki/Bombay_Stock_Exchange" TargetMode="External"/><Relationship Id="rId60" Type="http://schemas.openxmlformats.org/officeDocument/2006/relationships/hyperlink" Target="https://en.wikipedia.org/wiki/Tadawul" TargetMode="External"/><Relationship Id="rId65" Type="http://schemas.openxmlformats.org/officeDocument/2006/relationships/hyperlink" Target="https://en.wikipedia.org/wiki/Shenzhen_Stock_Exchange" TargetMode="External"/><Relationship Id="rId81" Type="http://schemas.openxmlformats.org/officeDocument/2006/relationships/hyperlink" Target="https://en.wikipedia.org/wiki/Nasdaq_Nordic" TargetMode="External"/><Relationship Id="rId86" Type="http://schemas.openxmlformats.org/officeDocument/2006/relationships/hyperlink" Target="https://en.wikipedia.org/wiki/Euronext" TargetMode="External"/><Relationship Id="rId130" Type="http://schemas.openxmlformats.org/officeDocument/2006/relationships/hyperlink" Target="https://en.wikipedia.org/wiki/Nasdaq_Nordic" TargetMode="External"/><Relationship Id="rId135" Type="http://schemas.openxmlformats.org/officeDocument/2006/relationships/hyperlink" Target="https://en.wikipedia.org/wiki/JSE_Limited" TargetMode="External"/><Relationship Id="rId151" Type="http://schemas.openxmlformats.org/officeDocument/2006/relationships/hyperlink" Target="https://en.wikipedia.org/wiki/Bombay_Stock_Exchange" TargetMode="External"/><Relationship Id="rId156" Type="http://schemas.openxmlformats.org/officeDocument/2006/relationships/hyperlink" Target="https://en.wikipedia.org/wiki/Korea_Exchange" TargetMode="External"/><Relationship Id="rId177" Type="http://schemas.openxmlformats.org/officeDocument/2006/relationships/hyperlink" Target="https://en.wikipedia.org/wiki/Shanghai_Stock_Exchange" TargetMode="External"/><Relationship Id="rId172" Type="http://schemas.openxmlformats.org/officeDocument/2006/relationships/hyperlink" Target="https://en.wikipedia.org/wiki/JSE_Limited" TargetMode="External"/><Relationship Id="rId13" Type="http://schemas.openxmlformats.org/officeDocument/2006/relationships/hyperlink" Target="https://en.wikipedia.org/wiki/Bombay_Stock_Exchange" TargetMode="External"/><Relationship Id="rId18" Type="http://schemas.openxmlformats.org/officeDocument/2006/relationships/hyperlink" Target="https://en.wikipedia.org/wiki/Shanghai_Stock_Exchange" TargetMode="External"/><Relationship Id="rId39" Type="http://schemas.openxmlformats.org/officeDocument/2006/relationships/hyperlink" Target="https://en.wikipedia.org/wiki/New_York_Stock_Exchange" TargetMode="External"/><Relationship Id="rId109" Type="http://schemas.openxmlformats.org/officeDocument/2006/relationships/hyperlink" Target="https://en.wikipedia.org/wiki/London_Stock_Exchange" TargetMode="External"/><Relationship Id="rId34" Type="http://schemas.openxmlformats.org/officeDocument/2006/relationships/hyperlink" Target="https://en.wikipedia.org/wiki/Deutsche_B%C3%B6rse" TargetMode="External"/><Relationship Id="rId50" Type="http://schemas.openxmlformats.org/officeDocument/2006/relationships/hyperlink" Target="https://en.wikipedia.org/wiki/London_Stock_Exchange" TargetMode="External"/><Relationship Id="rId55" Type="http://schemas.openxmlformats.org/officeDocument/2006/relationships/hyperlink" Target="https://en.wikipedia.org/wiki/Korea_Exchange" TargetMode="External"/><Relationship Id="rId76" Type="http://schemas.openxmlformats.org/officeDocument/2006/relationships/hyperlink" Target="https://en.wikipedia.org/wiki/B3_(stock_exchange)" TargetMode="External"/><Relationship Id="rId97" Type="http://schemas.openxmlformats.org/officeDocument/2006/relationships/hyperlink" Target="https://en.wikipedia.org/wiki/Tadawul" TargetMode="External"/><Relationship Id="rId104" Type="http://schemas.openxmlformats.org/officeDocument/2006/relationships/hyperlink" Target="https://en.wikipedia.org/wiki/B3_(stock_exchange)" TargetMode="External"/><Relationship Id="rId120" Type="http://schemas.openxmlformats.org/officeDocument/2006/relationships/hyperlink" Target="https://en.wikipedia.org/wiki/Taiwan_Stock_Exchange" TargetMode="External"/><Relationship Id="rId125" Type="http://schemas.openxmlformats.org/officeDocument/2006/relationships/hyperlink" Target="https://en.wikipedia.org/wiki/Nasdaq_Nordic" TargetMode="External"/><Relationship Id="rId141" Type="http://schemas.openxmlformats.org/officeDocument/2006/relationships/hyperlink" Target="https://en.wikipedia.org/wiki/Shenzhen_Stock_Exchange" TargetMode="External"/><Relationship Id="rId146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71" Type="http://schemas.openxmlformats.org/officeDocument/2006/relationships/hyperlink" Target="https://en.wikipedia.org/wiki/Euronext" TargetMode="External"/><Relationship Id="rId92" Type="http://schemas.openxmlformats.org/officeDocument/2006/relationships/hyperlink" Target="https://en.wikipedia.org/wiki/Nasdaq_Nordic" TargetMode="External"/><Relationship Id="rId162" Type="http://schemas.openxmlformats.org/officeDocument/2006/relationships/hyperlink" Target="https://en.wikipedia.org/wiki/Shanghai_Stock_Exchange" TargetMode="External"/><Relationship Id="rId183" Type="http://schemas.openxmlformats.org/officeDocument/2006/relationships/hyperlink" Target="https://en.wikipedia.org/wiki/Taiwan_Stock_Exchange" TargetMode="External"/><Relationship Id="rId2" Type="http://schemas.openxmlformats.org/officeDocument/2006/relationships/hyperlink" Target="https://en.wikipedia.org/wiki/Tehran_Stock_Exchange" TargetMode="External"/><Relationship Id="rId29" Type="http://schemas.openxmlformats.org/officeDocument/2006/relationships/hyperlink" Target="https://en.wikipedia.org/wiki/Bombay_Stock_Exchange" TargetMode="External"/><Relationship Id="rId24" Type="http://schemas.openxmlformats.org/officeDocument/2006/relationships/hyperlink" Target="https://en.wikipedia.org/wiki/Nasdaq" TargetMode="External"/><Relationship Id="rId40" Type="http://schemas.openxmlformats.org/officeDocument/2006/relationships/hyperlink" Target="https://en.wikipedia.org/wiki/Tehran_Stock_Exchange" TargetMode="External"/><Relationship Id="rId45" Type="http://schemas.openxmlformats.org/officeDocument/2006/relationships/hyperlink" Target="https://en.wikipedia.org/wiki/Shanghai_Stock_Exchange" TargetMode="External"/><Relationship Id="rId66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110" Type="http://schemas.openxmlformats.org/officeDocument/2006/relationships/hyperlink" Target="https://en.wikipedia.org/wiki/Bombay_Stock_Exchange" TargetMode="External"/><Relationship Id="rId115" Type="http://schemas.openxmlformats.org/officeDocument/2006/relationships/hyperlink" Target="https://en.wikipedia.org/wiki/JSE_Limited" TargetMode="External"/><Relationship Id="rId131" Type="http://schemas.openxmlformats.org/officeDocument/2006/relationships/hyperlink" Target="https://en.wikipedia.org/wiki/Toronto_Stock_Exchange" TargetMode="External"/><Relationship Id="rId136" Type="http://schemas.openxmlformats.org/officeDocument/2006/relationships/hyperlink" Target="https://en.wikipedia.org/wiki/London_Stock_Exchange" TargetMode="External"/><Relationship Id="rId157" Type="http://schemas.openxmlformats.org/officeDocument/2006/relationships/hyperlink" Target="https://en.wikipedia.org/wiki/Korea_Exchange" TargetMode="External"/><Relationship Id="rId178" Type="http://schemas.openxmlformats.org/officeDocument/2006/relationships/hyperlink" Target="https://en.wikipedia.org/wiki/Shenzhen_Stock_Exchange" TargetMode="External"/><Relationship Id="rId61" Type="http://schemas.openxmlformats.org/officeDocument/2006/relationships/hyperlink" Target="https://en.wikipedia.org/wiki/Tehran_Stock_Exchange" TargetMode="External"/><Relationship Id="rId82" Type="http://schemas.openxmlformats.org/officeDocument/2006/relationships/hyperlink" Target="https://en.wikipedia.org/wiki/Nasdaq" TargetMode="External"/><Relationship Id="rId152" Type="http://schemas.openxmlformats.org/officeDocument/2006/relationships/hyperlink" Target="https://en.wikipedia.org/wiki/Shanghai_Stock_Exchange" TargetMode="External"/><Relationship Id="rId173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4" Type="http://schemas.openxmlformats.org/officeDocument/2006/relationships/hyperlink" Target="https://en.wikipedia.org/wiki/Tadawul" TargetMode="External"/><Relationship Id="rId30" Type="http://schemas.openxmlformats.org/officeDocument/2006/relationships/hyperlink" Target="https://en.wikipedia.org/wiki/Deutsche_B%C3%B6rse" TargetMode="External"/><Relationship Id="rId35" Type="http://schemas.openxmlformats.org/officeDocument/2006/relationships/hyperlink" Target="https://en.wikipedia.org/wiki/SIX_Swiss_Exchange" TargetMode="External"/><Relationship Id="rId56" Type="http://schemas.openxmlformats.org/officeDocument/2006/relationships/hyperlink" Target="https://en.wikipedia.org/wiki/JSE_Limited" TargetMode="External"/><Relationship Id="rId77" Type="http://schemas.openxmlformats.org/officeDocument/2006/relationships/hyperlink" Target="https://en.wikipedia.org/wiki/Taiwan_Stock_Exchange" TargetMode="External"/><Relationship Id="rId100" Type="http://schemas.openxmlformats.org/officeDocument/2006/relationships/hyperlink" Target="https://en.wikipedia.org/wiki/Hong_Kong_Stock_Exchange" TargetMode="External"/><Relationship Id="rId105" Type="http://schemas.openxmlformats.org/officeDocument/2006/relationships/hyperlink" Target="https://en.wikipedia.org/wiki/Tehran_Stock_Exchange" TargetMode="External"/><Relationship Id="rId126" Type="http://schemas.openxmlformats.org/officeDocument/2006/relationships/hyperlink" Target="https://en.wikipedia.org/wiki/Deutsche_B%C3%B6rse" TargetMode="External"/><Relationship Id="rId147" Type="http://schemas.openxmlformats.org/officeDocument/2006/relationships/hyperlink" Target="https://en.wikipedia.org/wiki/Nasdaq" TargetMode="External"/><Relationship Id="rId168" Type="http://schemas.openxmlformats.org/officeDocument/2006/relationships/hyperlink" Target="https://en.wikipedia.org/wiki/Tadawul" TargetMode="External"/><Relationship Id="rId8" Type="http://schemas.openxmlformats.org/officeDocument/2006/relationships/hyperlink" Target="https://en.wikipedia.org/wiki/JSE_Limited" TargetMode="External"/><Relationship Id="rId51" Type="http://schemas.openxmlformats.org/officeDocument/2006/relationships/hyperlink" Target="https://en.wikipedia.org/wiki/Nasdaq" TargetMode="External"/><Relationship Id="rId72" Type="http://schemas.openxmlformats.org/officeDocument/2006/relationships/hyperlink" Target="https://en.wikipedia.org/wiki/SIX_Swiss_Exchange" TargetMode="External"/><Relationship Id="rId93" Type="http://schemas.openxmlformats.org/officeDocument/2006/relationships/hyperlink" Target="https://en.wikipedia.org/wiki/National_Stock_Exchange_of_India" TargetMode="External"/><Relationship Id="rId98" Type="http://schemas.openxmlformats.org/officeDocument/2006/relationships/hyperlink" Target="https://en.wikipedia.org/wiki/Nasdaq" TargetMode="External"/><Relationship Id="rId121" Type="http://schemas.openxmlformats.org/officeDocument/2006/relationships/hyperlink" Target="https://en.wikipedia.org/wiki/New_York_Stock_Exchange" TargetMode="External"/><Relationship Id="rId142" Type="http://schemas.openxmlformats.org/officeDocument/2006/relationships/hyperlink" Target="https://en.wikipedia.org/wiki/Shenzhen_Stock_Exchange" TargetMode="External"/><Relationship Id="rId163" Type="http://schemas.openxmlformats.org/officeDocument/2006/relationships/hyperlink" Target="https://en.wikipedia.org/wiki/Deutsche_B%C3%B6rse" TargetMode="External"/><Relationship Id="rId184" Type="http://schemas.openxmlformats.org/officeDocument/2006/relationships/hyperlink" Target="https://en.wikipedia.org/wiki/B3_(stock_exchange)" TargetMode="External"/><Relationship Id="rId3" Type="http://schemas.openxmlformats.org/officeDocument/2006/relationships/hyperlink" Target="https://en.wikipedia.org/wiki/National_Stock_Exchange_of_India" TargetMode="External"/><Relationship Id="rId25" Type="http://schemas.openxmlformats.org/officeDocument/2006/relationships/hyperlink" Target="https://en.wikipedia.org/wiki/Toronto_Stock_Exchange" TargetMode="External"/><Relationship Id="rId46" Type="http://schemas.openxmlformats.org/officeDocument/2006/relationships/hyperlink" Target="https://en.wikipedia.org/wiki/Deutsche_B%C3%B6rse" TargetMode="External"/><Relationship Id="rId67" Type="http://schemas.openxmlformats.org/officeDocument/2006/relationships/hyperlink" Target="https://en.wikipedia.org/wiki/New_York_Stock_Exchange" TargetMode="External"/><Relationship Id="rId116" Type="http://schemas.openxmlformats.org/officeDocument/2006/relationships/hyperlink" Target="https://en.wikipedia.org/wiki/Tehran_Stock_Exchange" TargetMode="External"/><Relationship Id="rId137" Type="http://schemas.openxmlformats.org/officeDocument/2006/relationships/hyperlink" Target="https://en.wikipedia.org/wiki/Korea_Exchange" TargetMode="External"/><Relationship Id="rId158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41" Type="http://schemas.openxmlformats.org/officeDocument/2006/relationships/hyperlink" Target="https://en.wikipedia.org/wiki/New_York_Stock_Exchange" TargetMode="External"/><Relationship Id="rId62" Type="http://schemas.openxmlformats.org/officeDocument/2006/relationships/hyperlink" Target="https://en.wikipedia.org/wiki/B3_(stock_exchange)" TargetMode="External"/><Relationship Id="rId83" Type="http://schemas.openxmlformats.org/officeDocument/2006/relationships/hyperlink" Target="https://en.wikipedia.org/wiki/Nasdaq_Nordic" TargetMode="External"/><Relationship Id="rId88" Type="http://schemas.openxmlformats.org/officeDocument/2006/relationships/hyperlink" Target="https://en.wikipedia.org/wiki/B3_(stock_exchange)" TargetMode="External"/><Relationship Id="rId111" Type="http://schemas.openxmlformats.org/officeDocument/2006/relationships/hyperlink" Target="https://en.wikipedia.org/wiki/National_Stock_Exchange_of_India" TargetMode="External"/><Relationship Id="rId132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74" Type="http://schemas.openxmlformats.org/officeDocument/2006/relationships/hyperlink" Target="https://en.wikipedia.org/wiki/Deutsche_B%C3%B6rse" TargetMode="External"/><Relationship Id="rId179" Type="http://schemas.openxmlformats.org/officeDocument/2006/relationships/hyperlink" Target="https://en.wikipedia.org/wiki/JSE_Limited" TargetMode="External"/><Relationship Id="rId15" Type="http://schemas.openxmlformats.org/officeDocument/2006/relationships/hyperlink" Target="https://en.wikipedia.org/wiki/JSE_Limited" TargetMode="External"/><Relationship Id="rId36" Type="http://schemas.openxmlformats.org/officeDocument/2006/relationships/hyperlink" Target="https://en.wikipedia.org/wiki/Euronext" TargetMode="External"/><Relationship Id="rId57" Type="http://schemas.openxmlformats.org/officeDocument/2006/relationships/hyperlink" Target="https://en.wikipedia.org/wiki/Japan_Exchange_Group" TargetMode="External"/><Relationship Id="rId106" Type="http://schemas.openxmlformats.org/officeDocument/2006/relationships/hyperlink" Target="https://en.wikipedia.org/wiki/Japan_Exchange_Group" TargetMode="External"/><Relationship Id="rId127" Type="http://schemas.openxmlformats.org/officeDocument/2006/relationships/hyperlink" Target="https://en.wikipedia.org/wiki/London_Stock_Exchange" TargetMode="External"/><Relationship Id="rId10" Type="http://schemas.openxmlformats.org/officeDocument/2006/relationships/hyperlink" Target="https://en.wikipedia.org/wiki/Euronext" TargetMode="External"/><Relationship Id="rId31" Type="http://schemas.openxmlformats.org/officeDocument/2006/relationships/hyperlink" Target="https://en.wikipedia.org/wiki/London_Stock_Exchange" TargetMode="External"/><Relationship Id="rId52" Type="http://schemas.openxmlformats.org/officeDocument/2006/relationships/hyperlink" Target="https://en.wikipedia.org/wiki/SIX_Swiss_Exchange" TargetMode="External"/><Relationship Id="rId73" Type="http://schemas.openxmlformats.org/officeDocument/2006/relationships/hyperlink" Target="https://en.wikipedia.org/wiki/B3_(stock_exchange)" TargetMode="External"/><Relationship Id="rId78" Type="http://schemas.openxmlformats.org/officeDocument/2006/relationships/hyperlink" Target="https://en.wikipedia.org/wiki/Bombay_Stock_Exchange" TargetMode="External"/><Relationship Id="rId94" Type="http://schemas.openxmlformats.org/officeDocument/2006/relationships/hyperlink" Target="https://en.wikipedia.org/wiki/Toronto_Stock_Exchange" TargetMode="External"/><Relationship Id="rId99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22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8" Type="http://schemas.openxmlformats.org/officeDocument/2006/relationships/hyperlink" Target="https://en.wikipedia.org/wiki/Shanghai_Stock_Exchange" TargetMode="External"/><Relationship Id="rId164" Type="http://schemas.openxmlformats.org/officeDocument/2006/relationships/hyperlink" Target="https://en.wikipedia.org/wiki/New_York_Stock_Exchange" TargetMode="External"/><Relationship Id="rId169" Type="http://schemas.openxmlformats.org/officeDocument/2006/relationships/hyperlink" Target="https://en.wikipedia.org/wiki/Tadawul" TargetMode="External"/><Relationship Id="rId4" Type="http://schemas.openxmlformats.org/officeDocument/2006/relationships/hyperlink" Target="https://en.wikipedia.org/wiki/SIX_Swiss_Exchange" TargetMode="External"/><Relationship Id="rId9" Type="http://schemas.openxmlformats.org/officeDocument/2006/relationships/hyperlink" Target="https://en.wikipedia.org/wiki/Toronto_Stock_Exchange" TargetMode="External"/><Relationship Id="rId180" Type="http://schemas.openxmlformats.org/officeDocument/2006/relationships/hyperlink" Target="https://en.wikipedia.org/wiki/B3_(stock_exchange)" TargetMode="External"/><Relationship Id="rId26" Type="http://schemas.openxmlformats.org/officeDocument/2006/relationships/hyperlink" Target="https://en.wikipedia.org/wiki/B3_(stock_exchange)" TargetMode="External"/><Relationship Id="rId47" Type="http://schemas.openxmlformats.org/officeDocument/2006/relationships/hyperlink" Target="https://en.wikipedia.org/wiki/Hong_Kong_Stock_Exchange" TargetMode="External"/><Relationship Id="rId68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112" Type="http://schemas.openxmlformats.org/officeDocument/2006/relationships/hyperlink" Target="https://en.wikipedia.org/wiki/Hong_Kong_Stock_Exchange" TargetMode="External"/><Relationship Id="rId133" Type="http://schemas.openxmlformats.org/officeDocument/2006/relationships/hyperlink" Target="https://en.wikipedia.org/wiki/Nasdaq_Nordic" TargetMode="External"/><Relationship Id="rId154" Type="http://schemas.openxmlformats.org/officeDocument/2006/relationships/hyperlink" Target="https://en.wikipedia.org/wiki/New_York_Stock_Exchange" TargetMode="External"/><Relationship Id="rId175" Type="http://schemas.openxmlformats.org/officeDocument/2006/relationships/hyperlink" Target="https://en.wikipedia.org/wiki/Bombay_Stock_Exchange" TargetMode="External"/><Relationship Id="rId16" Type="http://schemas.openxmlformats.org/officeDocument/2006/relationships/hyperlink" Target="https://en.wikipedia.org/wiki/Japan_Exchange_Group" TargetMode="External"/><Relationship Id="rId37" Type="http://schemas.openxmlformats.org/officeDocument/2006/relationships/hyperlink" Target="https://en.wikipedia.org/wiki/Taiwan_Stock_Exchange" TargetMode="External"/><Relationship Id="rId58" Type="http://schemas.openxmlformats.org/officeDocument/2006/relationships/hyperlink" Target="https://en.wikipedia.org/wiki/Shenzhen_Stock_Exchange" TargetMode="External"/><Relationship Id="rId79" Type="http://schemas.openxmlformats.org/officeDocument/2006/relationships/hyperlink" Target="https://en.wikipedia.org/wiki/Japan_Exchange_Group" TargetMode="External"/><Relationship Id="rId102" Type="http://schemas.openxmlformats.org/officeDocument/2006/relationships/hyperlink" Target="https://en.wikipedia.org/wiki/B3_(stock_exchange)" TargetMode="External"/><Relationship Id="rId123" Type="http://schemas.openxmlformats.org/officeDocument/2006/relationships/hyperlink" Target="https://en.wikipedia.org/wiki/Deutsche_B%C3%B6rse" TargetMode="External"/><Relationship Id="rId144" Type="http://schemas.openxmlformats.org/officeDocument/2006/relationships/hyperlink" Target="https://en.wikipedia.org/wiki/Bombay_Stock_Exchange" TargetMode="External"/><Relationship Id="rId90" Type="http://schemas.openxmlformats.org/officeDocument/2006/relationships/hyperlink" Target="https://en.wikipedia.org/wiki/Euronext" TargetMode="External"/><Relationship Id="rId165" Type="http://schemas.openxmlformats.org/officeDocument/2006/relationships/hyperlink" Target="https://en.wikipedia.org/wiki/Tehran_Stock_Exchange" TargetMode="External"/><Relationship Id="rId27" Type="http://schemas.openxmlformats.org/officeDocument/2006/relationships/hyperlink" Target="https://en.wikipedia.org/wiki/Korea_Exchange" TargetMode="External"/><Relationship Id="rId48" Type="http://schemas.openxmlformats.org/officeDocument/2006/relationships/hyperlink" Target="https://en.wikipedia.org/wiki/Toronto_Stock_Exchange" TargetMode="External"/><Relationship Id="rId69" Type="http://schemas.openxmlformats.org/officeDocument/2006/relationships/hyperlink" Target="https://en.wikipedia.org/wiki/Nasdaq" TargetMode="External"/><Relationship Id="rId113" Type="http://schemas.openxmlformats.org/officeDocument/2006/relationships/hyperlink" Target="https://en.wikipedia.org/wiki/SIX_Swiss_Exchange" TargetMode="External"/><Relationship Id="rId134" Type="http://schemas.openxmlformats.org/officeDocument/2006/relationships/hyperlink" Target="https://en.wikipedia.org/wiki/Shenzhen_Stock_Exchange" TargetMode="External"/><Relationship Id="rId80" Type="http://schemas.openxmlformats.org/officeDocument/2006/relationships/hyperlink" Target="https://en.wikipedia.org/wiki/Shanghai_Stock_Exchange" TargetMode="External"/><Relationship Id="rId155" Type="http://schemas.openxmlformats.org/officeDocument/2006/relationships/hyperlink" Target="https://en.wikipedia.org/wiki/London_Stock_Exchange" TargetMode="External"/><Relationship Id="rId176" Type="http://schemas.openxmlformats.org/officeDocument/2006/relationships/hyperlink" Target="https://en.wikipedia.org/wiki/Hong_Kong_Stock_Exchange" TargetMode="External"/><Relationship Id="rId17" Type="http://schemas.openxmlformats.org/officeDocument/2006/relationships/hyperlink" Target="https://en.wikipedia.org/wiki/Hong_Kong_Stock_Exchange" TargetMode="External"/><Relationship Id="rId38" Type="http://schemas.openxmlformats.org/officeDocument/2006/relationships/hyperlink" Target="https://en.wikipedia.org/wiki/Deutsche_B%C3%B6rse" TargetMode="External"/><Relationship Id="rId59" Type="http://schemas.openxmlformats.org/officeDocument/2006/relationships/hyperlink" Target="https://en.wikipedia.org/wiki/Deutsche_B%C3%B6rse" TargetMode="External"/><Relationship Id="rId103" Type="http://schemas.openxmlformats.org/officeDocument/2006/relationships/hyperlink" Target="https://en.wikipedia.org/wiki/SIX_Swiss_Exchange" TargetMode="External"/><Relationship Id="rId124" Type="http://schemas.openxmlformats.org/officeDocument/2006/relationships/hyperlink" Target="https://en.wikipedia.org/wiki/Nasdaq" TargetMode="External"/><Relationship Id="rId70" Type="http://schemas.openxmlformats.org/officeDocument/2006/relationships/hyperlink" Target="https://en.wikipedia.org/wiki/Hong_Kong_Stock_Exchange" TargetMode="External"/><Relationship Id="rId91" Type="http://schemas.openxmlformats.org/officeDocument/2006/relationships/hyperlink" Target="https://en.wikipedia.org/wiki/Nasdaq_Nordic" TargetMode="External"/><Relationship Id="rId145" Type="http://schemas.openxmlformats.org/officeDocument/2006/relationships/hyperlink" Target="https://en.wikipedia.org/wiki/Bombay_Stock_Exchange" TargetMode="External"/><Relationship Id="rId166" Type="http://schemas.openxmlformats.org/officeDocument/2006/relationships/hyperlink" Target="https://en.wikipedia.org/wiki/New_York_Stock_Exchange" TargetMode="External"/><Relationship Id="rId1" Type="http://schemas.openxmlformats.org/officeDocument/2006/relationships/hyperlink" Target="https://en.wikipedia.org/wiki/Bombay_Stock_Exchange" TargetMode="External"/><Relationship Id="rId28" Type="http://schemas.openxmlformats.org/officeDocument/2006/relationships/hyperlink" Target="https://en.wikipedia.org/wiki/Bombay_Stock_Exchange" TargetMode="External"/><Relationship Id="rId49" Type="http://schemas.openxmlformats.org/officeDocument/2006/relationships/hyperlink" Target="https://en.wikipedia.org/wiki/Korea_Exchange" TargetMode="External"/><Relationship Id="rId114" Type="http://schemas.openxmlformats.org/officeDocument/2006/relationships/hyperlink" Target="https://en.wikipedia.org/wiki/Deutsche_B%C3%B6r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48"/>
  <sheetViews>
    <sheetView workbookViewId="0">
      <pane ySplit="1" topLeftCell="A2" activePane="bottomLeft" state="frozen"/>
      <selection pane="bottomLeft" activeCell="I5" sqref="I5"/>
    </sheetView>
  </sheetViews>
  <sheetFormatPr defaultColWidth="12.5703125" defaultRowHeight="15.75" customHeight="1"/>
  <cols>
    <col min="2" max="2" width="33.85546875" customWidth="1"/>
    <col min="4" max="4" width="12.5703125" style="1"/>
    <col min="6" max="6" width="13.7109375" customWidth="1"/>
    <col min="7" max="7" width="12.5703125" style="1"/>
    <col min="9" max="35" width="12.5703125" style="8"/>
  </cols>
  <sheetData>
    <row r="1" spans="1:9" ht="21.75" thickTop="1" thickBot="1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4" t="s">
        <v>6</v>
      </c>
      <c r="H1" s="23" t="s">
        <v>7</v>
      </c>
      <c r="I1" s="25"/>
    </row>
    <row r="2" spans="1:9" ht="15" thickTop="1">
      <c r="A2" s="18" t="s">
        <v>8</v>
      </c>
      <c r="B2" s="19" t="s">
        <v>9</v>
      </c>
      <c r="C2" s="20" t="s">
        <v>10</v>
      </c>
      <c r="D2" s="21">
        <v>44841</v>
      </c>
      <c r="E2" s="22">
        <v>7</v>
      </c>
      <c r="F2" s="22">
        <v>0.28318547112501802</v>
      </c>
      <c r="G2" s="21">
        <v>45092</v>
      </c>
      <c r="H2" s="22">
        <v>0.557129814707503</v>
      </c>
      <c r="I2" s="9"/>
    </row>
    <row r="3" spans="1:9" ht="14.25">
      <c r="A3" s="2" t="s">
        <v>11</v>
      </c>
      <c r="B3" s="3" t="s">
        <v>12</v>
      </c>
      <c r="C3" s="4" t="s">
        <v>13</v>
      </c>
      <c r="D3" s="5">
        <v>44200</v>
      </c>
      <c r="E3" s="6">
        <v>2</v>
      </c>
      <c r="F3" s="6">
        <v>0.64142747007026002</v>
      </c>
      <c r="G3" s="5">
        <v>45039</v>
      </c>
      <c r="H3" s="6">
        <v>0.88983597888511301</v>
      </c>
      <c r="I3" s="9"/>
    </row>
    <row r="4" spans="1:9" ht="14.25">
      <c r="A4" s="2" t="s">
        <v>14</v>
      </c>
      <c r="B4" s="3" t="s">
        <v>15</v>
      </c>
      <c r="C4" s="4" t="s">
        <v>10</v>
      </c>
      <c r="D4" s="5">
        <v>44519</v>
      </c>
      <c r="E4" s="6">
        <v>6</v>
      </c>
      <c r="F4" s="6">
        <v>0.98092817996517101</v>
      </c>
      <c r="G4" s="5">
        <v>44968</v>
      </c>
      <c r="H4" s="6">
        <v>0.72256312699759195</v>
      </c>
      <c r="I4" s="9"/>
    </row>
    <row r="5" spans="1:9" ht="14.25">
      <c r="A5" s="2" t="s">
        <v>16</v>
      </c>
      <c r="B5" s="3" t="s">
        <v>17</v>
      </c>
      <c r="C5" s="4" t="s">
        <v>18</v>
      </c>
      <c r="D5" s="5">
        <v>44664</v>
      </c>
      <c r="E5" s="6">
        <v>1</v>
      </c>
      <c r="F5" s="6">
        <v>0.46027529609517198</v>
      </c>
      <c r="G5" s="5">
        <v>44971</v>
      </c>
      <c r="H5" s="6">
        <v>0.82793169583258497</v>
      </c>
      <c r="I5" s="9"/>
    </row>
    <row r="6" spans="1:9" ht="14.25">
      <c r="A6" s="2" t="s">
        <v>19</v>
      </c>
      <c r="B6" s="3" t="s">
        <v>9</v>
      </c>
      <c r="C6" s="4" t="s">
        <v>10</v>
      </c>
      <c r="D6" s="5">
        <v>44351</v>
      </c>
      <c r="E6" s="6">
        <v>9</v>
      </c>
      <c r="F6" s="6">
        <v>0.55179844990216698</v>
      </c>
      <c r="G6" s="5">
        <v>44977</v>
      </c>
      <c r="H6" s="6">
        <v>0.19789786446941801</v>
      </c>
      <c r="I6" s="9"/>
    </row>
    <row r="7" spans="1:9" ht="14.25">
      <c r="A7" s="2" t="s">
        <v>20</v>
      </c>
      <c r="B7" s="3" t="s">
        <v>21</v>
      </c>
      <c r="C7" s="4" t="s">
        <v>22</v>
      </c>
      <c r="D7" s="5">
        <v>44529</v>
      </c>
      <c r="E7" s="6">
        <v>1</v>
      </c>
      <c r="F7" s="6">
        <v>0.30386848867018701</v>
      </c>
      <c r="G7" s="5">
        <v>44969</v>
      </c>
      <c r="H7" s="6">
        <v>0.97814412656590199</v>
      </c>
      <c r="I7" s="9"/>
    </row>
    <row r="8" spans="1:9" ht="14.25">
      <c r="A8" s="2" t="s">
        <v>23</v>
      </c>
      <c r="B8" s="3" t="s">
        <v>24</v>
      </c>
      <c r="C8" s="4" t="s">
        <v>25</v>
      </c>
      <c r="D8" s="5">
        <v>44500</v>
      </c>
      <c r="E8" s="6">
        <v>3</v>
      </c>
      <c r="F8" s="6">
        <v>0.100945559071712</v>
      </c>
      <c r="G8" s="5">
        <v>44930</v>
      </c>
      <c r="H8" s="6">
        <v>0.407405377776074</v>
      </c>
      <c r="I8" s="9"/>
    </row>
    <row r="9" spans="1:9" ht="14.25">
      <c r="A9" s="2" t="s">
        <v>26</v>
      </c>
      <c r="B9" s="3" t="s">
        <v>27</v>
      </c>
      <c r="C9" s="4" t="s">
        <v>28</v>
      </c>
      <c r="D9" s="5">
        <v>44584</v>
      </c>
      <c r="E9" s="6">
        <v>4</v>
      </c>
      <c r="F9" s="6">
        <v>0.13652069785058399</v>
      </c>
      <c r="G9" s="5">
        <v>44991</v>
      </c>
      <c r="H9" s="6">
        <v>0.38969057106772598</v>
      </c>
      <c r="I9" s="9"/>
    </row>
    <row r="10" spans="1:9" ht="14.25">
      <c r="A10" s="2" t="s">
        <v>29</v>
      </c>
      <c r="B10" s="3" t="s">
        <v>30</v>
      </c>
      <c r="C10" s="4" t="s">
        <v>31</v>
      </c>
      <c r="D10" s="5">
        <v>44472</v>
      </c>
      <c r="E10" s="6">
        <v>10</v>
      </c>
      <c r="F10" s="6">
        <v>0.41670439236003598</v>
      </c>
      <c r="G10" s="5">
        <v>45045</v>
      </c>
      <c r="H10" s="6">
        <v>0.54934508287877304</v>
      </c>
      <c r="I10" s="9"/>
    </row>
    <row r="11" spans="1:9" ht="14.25">
      <c r="A11" s="2" t="s">
        <v>32</v>
      </c>
      <c r="B11" s="3" t="s">
        <v>21</v>
      </c>
      <c r="C11" s="4" t="s">
        <v>22</v>
      </c>
      <c r="D11" s="5">
        <v>44587</v>
      </c>
      <c r="E11" s="6">
        <v>6</v>
      </c>
      <c r="F11" s="6">
        <v>0.24316986891245501</v>
      </c>
      <c r="G11" s="5">
        <v>44987</v>
      </c>
      <c r="H11" s="6">
        <v>0.420232824731951</v>
      </c>
      <c r="I11" s="9"/>
    </row>
    <row r="12" spans="1:9" ht="14.25">
      <c r="A12" s="2" t="s">
        <v>33</v>
      </c>
      <c r="B12" s="3" t="s">
        <v>34</v>
      </c>
      <c r="C12" s="4" t="s">
        <v>35</v>
      </c>
      <c r="D12" s="5">
        <v>44407</v>
      </c>
      <c r="E12" s="6">
        <v>5</v>
      </c>
      <c r="F12" s="6">
        <v>0.80079383386161695</v>
      </c>
      <c r="G12" s="5">
        <v>44996</v>
      </c>
      <c r="H12" s="6">
        <v>0.89666229529100405</v>
      </c>
      <c r="I12" s="9"/>
    </row>
    <row r="13" spans="1:9" ht="14.25">
      <c r="A13" s="2" t="s">
        <v>36</v>
      </c>
      <c r="B13" s="3" t="s">
        <v>9</v>
      </c>
      <c r="C13" s="4" t="s">
        <v>10</v>
      </c>
      <c r="D13" s="5">
        <v>44543</v>
      </c>
      <c r="E13" s="6">
        <v>10</v>
      </c>
      <c r="F13" s="6">
        <v>0.638981266676107</v>
      </c>
      <c r="G13" s="5">
        <v>45031</v>
      </c>
      <c r="H13" s="6">
        <v>0.77496721699985804</v>
      </c>
      <c r="I13" s="9"/>
    </row>
    <row r="14" spans="1:9" ht="14.25">
      <c r="A14" s="2" t="s">
        <v>37</v>
      </c>
      <c r="B14" s="3" t="s">
        <v>9</v>
      </c>
      <c r="C14" s="4" t="s">
        <v>10</v>
      </c>
      <c r="D14" s="5">
        <v>44925</v>
      </c>
      <c r="E14" s="6">
        <v>8</v>
      </c>
      <c r="F14" s="6">
        <v>0.34625418958602699</v>
      </c>
      <c r="G14" s="5">
        <v>45034</v>
      </c>
      <c r="H14" s="6">
        <v>0.71065052633396197</v>
      </c>
      <c r="I14" s="9"/>
    </row>
    <row r="15" spans="1:9" ht="14.25">
      <c r="A15" s="2" t="s">
        <v>38</v>
      </c>
      <c r="B15" s="3" t="s">
        <v>39</v>
      </c>
      <c r="C15" s="4" t="s">
        <v>40</v>
      </c>
      <c r="D15" s="5">
        <v>44355</v>
      </c>
      <c r="E15" s="6">
        <v>6</v>
      </c>
      <c r="F15" s="6">
        <v>0.36584758654187899</v>
      </c>
      <c r="G15" s="5">
        <v>45023</v>
      </c>
      <c r="H15" s="6">
        <v>0.45311698845143</v>
      </c>
      <c r="I15" s="9"/>
    </row>
    <row r="16" spans="1:9" ht="14.25">
      <c r="A16" s="2" t="s">
        <v>41</v>
      </c>
      <c r="B16" s="3" t="s">
        <v>27</v>
      </c>
      <c r="C16" s="4" t="s">
        <v>28</v>
      </c>
      <c r="D16" s="5">
        <v>44710</v>
      </c>
      <c r="E16" s="6">
        <v>6</v>
      </c>
      <c r="F16" s="6">
        <v>0.379060395757914</v>
      </c>
      <c r="G16" s="5">
        <v>44977</v>
      </c>
      <c r="H16" s="6">
        <v>0.31616207722275602</v>
      </c>
      <c r="I16" s="9"/>
    </row>
    <row r="17" spans="1:9" ht="14.25">
      <c r="A17" s="2" t="s">
        <v>42</v>
      </c>
      <c r="B17" s="3" t="s">
        <v>43</v>
      </c>
      <c r="C17" s="4" t="s">
        <v>44</v>
      </c>
      <c r="D17" s="5">
        <v>44922</v>
      </c>
      <c r="E17" s="6">
        <v>8</v>
      </c>
      <c r="F17" s="6">
        <v>0.72895214290311094</v>
      </c>
      <c r="G17" s="5">
        <v>45000</v>
      </c>
      <c r="H17" s="6">
        <v>0.22418004410534101</v>
      </c>
      <c r="I17" s="9"/>
    </row>
    <row r="18" spans="1:9" ht="14.25">
      <c r="A18" s="2" t="s">
        <v>45</v>
      </c>
      <c r="B18" s="3" t="s">
        <v>46</v>
      </c>
      <c r="C18" s="4" t="s">
        <v>47</v>
      </c>
      <c r="D18" s="5">
        <v>44294</v>
      </c>
      <c r="E18" s="6">
        <v>5</v>
      </c>
      <c r="F18" s="6">
        <v>0.42202075102150899</v>
      </c>
      <c r="G18" s="5">
        <v>45056</v>
      </c>
      <c r="H18" s="6">
        <v>0.38793156543941099</v>
      </c>
      <c r="I18" s="9"/>
    </row>
    <row r="19" spans="1:9" ht="14.25">
      <c r="A19" s="2" t="s">
        <v>48</v>
      </c>
      <c r="B19" s="3" t="s">
        <v>49</v>
      </c>
      <c r="C19" s="4" t="s">
        <v>50</v>
      </c>
      <c r="D19" s="5">
        <v>44341</v>
      </c>
      <c r="E19" s="6">
        <v>4</v>
      </c>
      <c r="F19" s="6">
        <v>0.221183884694959</v>
      </c>
      <c r="G19" s="5">
        <v>44964</v>
      </c>
      <c r="H19" s="6">
        <v>0.33188863151931702</v>
      </c>
      <c r="I19" s="9"/>
    </row>
    <row r="20" spans="1:9" ht="14.25">
      <c r="A20" s="2" t="s">
        <v>51</v>
      </c>
      <c r="B20" s="3" t="s">
        <v>15</v>
      </c>
      <c r="C20" s="4" t="s">
        <v>10</v>
      </c>
      <c r="D20" s="5">
        <v>44205</v>
      </c>
      <c r="E20" s="6">
        <v>1</v>
      </c>
      <c r="F20" s="6">
        <v>0.33608049957319502</v>
      </c>
      <c r="G20" s="5">
        <v>45067</v>
      </c>
      <c r="H20" s="6">
        <v>0.632173644236244</v>
      </c>
      <c r="I20" s="9"/>
    </row>
    <row r="21" spans="1:9" ht="14.25">
      <c r="A21" s="2" t="s">
        <v>52</v>
      </c>
      <c r="B21" s="3" t="s">
        <v>43</v>
      </c>
      <c r="C21" s="4" t="s">
        <v>44</v>
      </c>
      <c r="D21" s="5">
        <v>44385</v>
      </c>
      <c r="E21" s="6">
        <v>1</v>
      </c>
      <c r="F21" s="6">
        <v>0.66879924137456503</v>
      </c>
      <c r="G21" s="5">
        <v>45019</v>
      </c>
      <c r="H21" s="6">
        <v>0.97050369055421803</v>
      </c>
      <c r="I21" s="9"/>
    </row>
    <row r="22" spans="1:9" ht="14.25">
      <c r="A22" s="2" t="s">
        <v>53</v>
      </c>
      <c r="B22" s="3" t="s">
        <v>54</v>
      </c>
      <c r="C22" s="4" t="s">
        <v>55</v>
      </c>
      <c r="D22" s="5">
        <v>44418</v>
      </c>
      <c r="E22" s="6">
        <v>1</v>
      </c>
      <c r="F22" s="6">
        <v>0.94855371414201095</v>
      </c>
      <c r="G22" s="5">
        <v>44964</v>
      </c>
      <c r="H22" s="6">
        <v>0.335795433783181</v>
      </c>
      <c r="I22" s="9"/>
    </row>
    <row r="23" spans="1:9" ht="14.25">
      <c r="A23" s="2" t="s">
        <v>56</v>
      </c>
      <c r="B23" s="3" t="s">
        <v>9</v>
      </c>
      <c r="C23" s="4" t="s">
        <v>10</v>
      </c>
      <c r="D23" s="5">
        <v>44303</v>
      </c>
      <c r="E23" s="6">
        <v>9</v>
      </c>
      <c r="F23" s="6">
        <v>0.84008770787604403</v>
      </c>
      <c r="G23" s="5">
        <v>45011</v>
      </c>
      <c r="H23" s="6">
        <v>0.55247139186324401</v>
      </c>
      <c r="I23" s="9"/>
    </row>
    <row r="24" spans="1:9" ht="14.25">
      <c r="A24" s="2" t="s">
        <v>57</v>
      </c>
      <c r="B24" s="3" t="s">
        <v>58</v>
      </c>
      <c r="C24" s="4" t="s">
        <v>59</v>
      </c>
      <c r="D24" s="5">
        <v>44469</v>
      </c>
      <c r="E24" s="6">
        <v>2</v>
      </c>
      <c r="F24" s="6">
        <v>2.2027610408179498E-3</v>
      </c>
      <c r="G24" s="5">
        <v>45016</v>
      </c>
      <c r="H24" s="6">
        <v>0.38274839978632802</v>
      </c>
      <c r="I24" s="9"/>
    </row>
    <row r="25" spans="1:9" ht="14.25">
      <c r="A25" s="2" t="s">
        <v>60</v>
      </c>
      <c r="B25" s="3" t="s">
        <v>61</v>
      </c>
      <c r="C25" s="4" t="s">
        <v>62</v>
      </c>
      <c r="D25" s="5">
        <v>44786</v>
      </c>
      <c r="E25" s="6">
        <v>3</v>
      </c>
      <c r="F25" s="6">
        <v>0.70520735936114698</v>
      </c>
      <c r="G25" s="5">
        <v>45023</v>
      </c>
      <c r="H25" s="6">
        <v>0.85427426099032899</v>
      </c>
      <c r="I25" s="9"/>
    </row>
    <row r="26" spans="1:9" ht="14.25">
      <c r="A26" s="2" t="s">
        <v>63</v>
      </c>
      <c r="B26" s="3" t="s">
        <v>30</v>
      </c>
      <c r="C26" s="4" t="s">
        <v>31</v>
      </c>
      <c r="D26" s="5">
        <v>44882</v>
      </c>
      <c r="E26" s="6">
        <v>2</v>
      </c>
      <c r="F26" s="6">
        <v>0.83894286337563995</v>
      </c>
      <c r="G26" s="5">
        <v>44933</v>
      </c>
      <c r="H26" s="6">
        <v>0.67630232908539301</v>
      </c>
      <c r="I26" s="9"/>
    </row>
    <row r="27" spans="1:9" ht="14.25">
      <c r="A27" s="2" t="s">
        <v>64</v>
      </c>
      <c r="B27" s="3" t="s">
        <v>58</v>
      </c>
      <c r="C27" s="4" t="s">
        <v>59</v>
      </c>
      <c r="D27" s="5">
        <v>44725</v>
      </c>
      <c r="E27" s="6">
        <v>8</v>
      </c>
      <c r="F27" s="6">
        <v>0.87889715359181098</v>
      </c>
      <c r="G27" s="5">
        <v>44932</v>
      </c>
      <c r="H27" s="6">
        <v>0.20020556920871699</v>
      </c>
      <c r="I27" s="9"/>
    </row>
    <row r="28" spans="1:9" ht="14.25">
      <c r="A28" s="2" t="s">
        <v>65</v>
      </c>
      <c r="B28" s="3" t="s">
        <v>24</v>
      </c>
      <c r="C28" s="4" t="s">
        <v>25</v>
      </c>
      <c r="D28" s="5">
        <v>44599</v>
      </c>
      <c r="E28" s="6">
        <v>7</v>
      </c>
      <c r="F28" s="6">
        <v>0.81200798012546904</v>
      </c>
      <c r="G28" s="5">
        <v>45064</v>
      </c>
      <c r="H28" s="6">
        <v>0.26150647842758601</v>
      </c>
      <c r="I28" s="9"/>
    </row>
    <row r="29" spans="1:9" ht="14.25">
      <c r="A29" s="2" t="s">
        <v>66</v>
      </c>
      <c r="B29" s="3" t="s">
        <v>9</v>
      </c>
      <c r="C29" s="4" t="s">
        <v>10</v>
      </c>
      <c r="D29" s="5">
        <v>44492</v>
      </c>
      <c r="E29" s="6">
        <v>1</v>
      </c>
      <c r="F29" s="6">
        <v>0.27554760755730201</v>
      </c>
      <c r="G29" s="5">
        <v>45049</v>
      </c>
      <c r="H29" s="6">
        <v>0.19858809226913399</v>
      </c>
      <c r="I29" s="9"/>
    </row>
    <row r="30" spans="1:9" ht="14.25">
      <c r="A30" s="2" t="s">
        <v>67</v>
      </c>
      <c r="B30" s="3" t="s">
        <v>9</v>
      </c>
      <c r="C30" s="4" t="s">
        <v>10</v>
      </c>
      <c r="D30" s="5">
        <v>44523</v>
      </c>
      <c r="E30" s="6">
        <v>3</v>
      </c>
      <c r="F30" s="6">
        <v>0.15183590676997499</v>
      </c>
      <c r="G30" s="5">
        <v>45036</v>
      </c>
      <c r="H30" s="6">
        <v>0.96263635120934099</v>
      </c>
      <c r="I30" s="9"/>
    </row>
    <row r="31" spans="1:9" ht="14.25">
      <c r="A31" s="2" t="s">
        <v>68</v>
      </c>
      <c r="B31" s="3" t="s">
        <v>34</v>
      </c>
      <c r="C31" s="4" t="s">
        <v>35</v>
      </c>
      <c r="D31" s="5">
        <v>44281</v>
      </c>
      <c r="E31" s="6">
        <v>1</v>
      </c>
      <c r="F31" s="6">
        <v>0.31751651418006399</v>
      </c>
      <c r="G31" s="5">
        <v>44967</v>
      </c>
      <c r="H31" s="6">
        <v>0.47080505116614901</v>
      </c>
      <c r="I31" s="9"/>
    </row>
    <row r="32" spans="1:9" ht="14.25">
      <c r="A32" s="2" t="s">
        <v>69</v>
      </c>
      <c r="B32" s="3" t="s">
        <v>54</v>
      </c>
      <c r="C32" s="4" t="s">
        <v>55</v>
      </c>
      <c r="D32" s="5">
        <v>44594</v>
      </c>
      <c r="E32" s="6">
        <v>7</v>
      </c>
      <c r="F32" s="6">
        <v>8.2508842921547004E-2</v>
      </c>
      <c r="G32" s="5">
        <v>44981</v>
      </c>
      <c r="H32" s="6">
        <v>0.90723039307728803</v>
      </c>
      <c r="I32" s="9"/>
    </row>
    <row r="33" spans="1:9" ht="14.25">
      <c r="A33" s="2" t="s">
        <v>70</v>
      </c>
      <c r="B33" s="3" t="s">
        <v>71</v>
      </c>
      <c r="C33" s="4" t="s">
        <v>50</v>
      </c>
      <c r="D33" s="5">
        <v>44239</v>
      </c>
      <c r="E33" s="6">
        <v>9</v>
      </c>
      <c r="F33" s="6">
        <v>3.8415611438702597E-2</v>
      </c>
      <c r="G33" s="5">
        <v>45034</v>
      </c>
      <c r="H33" s="6">
        <v>0.69214535069910299</v>
      </c>
      <c r="I33" s="9"/>
    </row>
    <row r="34" spans="1:9" ht="14.25">
      <c r="A34" s="2" t="s">
        <v>72</v>
      </c>
      <c r="B34" s="3" t="s">
        <v>73</v>
      </c>
      <c r="C34" s="4" t="s">
        <v>74</v>
      </c>
      <c r="D34" s="5">
        <v>44541</v>
      </c>
      <c r="E34" s="6">
        <v>9</v>
      </c>
      <c r="F34" s="6">
        <v>0.215773738787989</v>
      </c>
      <c r="G34" s="5">
        <v>45040</v>
      </c>
      <c r="H34" s="6">
        <v>0.54884364241615202</v>
      </c>
      <c r="I34" s="9"/>
    </row>
    <row r="35" spans="1:9" ht="14.25">
      <c r="A35" s="2" t="s">
        <v>75</v>
      </c>
      <c r="B35" s="3" t="s">
        <v>34</v>
      </c>
      <c r="C35" s="4" t="s">
        <v>35</v>
      </c>
      <c r="D35" s="5">
        <v>44446</v>
      </c>
      <c r="E35" s="6">
        <v>5</v>
      </c>
      <c r="F35" s="6">
        <v>0.72585135876436702</v>
      </c>
      <c r="G35" s="5">
        <v>45053</v>
      </c>
      <c r="H35" s="6">
        <v>0.173994592694031</v>
      </c>
      <c r="I35" s="9"/>
    </row>
    <row r="36" spans="1:9" ht="14.25">
      <c r="A36" s="2" t="s">
        <v>76</v>
      </c>
      <c r="B36" s="3" t="s">
        <v>17</v>
      </c>
      <c r="C36" s="4" t="s">
        <v>18</v>
      </c>
      <c r="D36" s="5">
        <v>44554</v>
      </c>
      <c r="E36" s="6">
        <v>8</v>
      </c>
      <c r="F36" s="6">
        <v>0.68255570090641804</v>
      </c>
      <c r="G36" s="5">
        <v>44988</v>
      </c>
      <c r="H36" s="6">
        <v>0.60454082217188998</v>
      </c>
      <c r="I36" s="9"/>
    </row>
    <row r="37" spans="1:9" ht="14.25">
      <c r="A37" s="2" t="s">
        <v>77</v>
      </c>
      <c r="B37" s="3" t="s">
        <v>21</v>
      </c>
      <c r="C37" s="4" t="s">
        <v>22</v>
      </c>
      <c r="D37" s="5">
        <v>44198</v>
      </c>
      <c r="E37" s="6">
        <v>3</v>
      </c>
      <c r="F37" s="6">
        <v>0.80123839065137303</v>
      </c>
      <c r="G37" s="5">
        <v>45049</v>
      </c>
      <c r="H37" s="6">
        <v>0.30527628395158701</v>
      </c>
      <c r="I37" s="9"/>
    </row>
    <row r="38" spans="1:9" ht="14.25">
      <c r="A38" s="2" t="s">
        <v>78</v>
      </c>
      <c r="B38" s="3" t="s">
        <v>73</v>
      </c>
      <c r="C38" s="4" t="s">
        <v>74</v>
      </c>
      <c r="D38" s="5">
        <v>44838</v>
      </c>
      <c r="E38" s="6">
        <v>4</v>
      </c>
      <c r="F38" s="6">
        <v>0.86036052556079601</v>
      </c>
      <c r="G38" s="5">
        <v>44968</v>
      </c>
      <c r="H38" s="6">
        <v>0.75556235613803402</v>
      </c>
      <c r="I38" s="9"/>
    </row>
    <row r="39" spans="1:9" ht="14.25">
      <c r="A39" s="2" t="s">
        <v>79</v>
      </c>
      <c r="B39" s="3" t="s">
        <v>34</v>
      </c>
      <c r="C39" s="4" t="s">
        <v>35</v>
      </c>
      <c r="D39" s="5">
        <v>44503</v>
      </c>
      <c r="E39" s="6">
        <v>3</v>
      </c>
      <c r="F39" s="6">
        <v>0.89411437906362101</v>
      </c>
      <c r="G39" s="5">
        <v>44951</v>
      </c>
      <c r="H39" s="6">
        <v>0.15236785201696099</v>
      </c>
      <c r="I39" s="9"/>
    </row>
    <row r="40" spans="1:9" ht="14.25">
      <c r="A40" s="2" t="s">
        <v>80</v>
      </c>
      <c r="B40" s="3" t="s">
        <v>81</v>
      </c>
      <c r="C40" s="4" t="s">
        <v>62</v>
      </c>
      <c r="D40" s="5">
        <v>44579</v>
      </c>
      <c r="E40" s="6">
        <v>10</v>
      </c>
      <c r="F40" s="6">
        <v>0.93792316902615502</v>
      </c>
      <c r="G40" s="5">
        <v>45061</v>
      </c>
      <c r="H40" s="6">
        <v>0.45551581516099299</v>
      </c>
      <c r="I40" s="9"/>
    </row>
    <row r="41" spans="1:9" ht="14.25">
      <c r="A41" s="2" t="s">
        <v>82</v>
      </c>
      <c r="B41" s="3" t="s">
        <v>12</v>
      </c>
      <c r="C41" s="4" t="s">
        <v>13</v>
      </c>
      <c r="D41" s="5">
        <v>44898</v>
      </c>
      <c r="E41" s="6">
        <v>4</v>
      </c>
      <c r="F41" s="6">
        <v>0.70777097045034598</v>
      </c>
      <c r="G41" s="5">
        <v>44969</v>
      </c>
      <c r="H41" s="6">
        <v>0.29010240599643</v>
      </c>
      <c r="I41" s="9"/>
    </row>
    <row r="42" spans="1:9" ht="14.25">
      <c r="A42" s="2" t="s">
        <v>83</v>
      </c>
      <c r="B42" s="3" t="s">
        <v>81</v>
      </c>
      <c r="C42" s="4" t="s">
        <v>62</v>
      </c>
      <c r="D42" s="5">
        <v>44315</v>
      </c>
      <c r="E42" s="6">
        <v>10</v>
      </c>
      <c r="F42" s="6">
        <v>0.32809052787687998</v>
      </c>
      <c r="G42" s="5">
        <v>45058</v>
      </c>
      <c r="H42" s="6">
        <v>0.53620178529362506</v>
      </c>
      <c r="I42" s="9"/>
    </row>
    <row r="43" spans="1:9" ht="14.25">
      <c r="A43" s="2" t="s">
        <v>84</v>
      </c>
      <c r="B43" s="3" t="s">
        <v>12</v>
      </c>
      <c r="C43" s="4" t="s">
        <v>13</v>
      </c>
      <c r="D43" s="5">
        <v>44921</v>
      </c>
      <c r="E43" s="6">
        <v>10</v>
      </c>
      <c r="F43" s="6">
        <v>0.20148931810460499</v>
      </c>
      <c r="G43" s="5">
        <v>45027</v>
      </c>
      <c r="H43" s="6">
        <v>0.37346939187061601</v>
      </c>
      <c r="I43" s="9"/>
    </row>
    <row r="44" spans="1:9" ht="14.25">
      <c r="A44" s="2" t="s">
        <v>85</v>
      </c>
      <c r="B44" s="3" t="s">
        <v>43</v>
      </c>
      <c r="C44" s="4" t="s">
        <v>44</v>
      </c>
      <c r="D44" s="5">
        <v>44708</v>
      </c>
      <c r="E44" s="6">
        <v>6</v>
      </c>
      <c r="F44" s="6">
        <v>3.5993791246495099E-2</v>
      </c>
      <c r="G44" s="5">
        <v>44985</v>
      </c>
      <c r="H44" s="6">
        <v>0.97861539568179701</v>
      </c>
      <c r="I44" s="9"/>
    </row>
    <row r="45" spans="1:9" ht="14.25">
      <c r="A45" s="2" t="s">
        <v>86</v>
      </c>
      <c r="B45" s="3" t="s">
        <v>9</v>
      </c>
      <c r="C45" s="4" t="s">
        <v>10</v>
      </c>
      <c r="D45" s="5">
        <v>44795</v>
      </c>
      <c r="E45" s="6">
        <v>1</v>
      </c>
      <c r="F45" s="6">
        <v>0.71704537744139196</v>
      </c>
      <c r="G45" s="5">
        <v>45022</v>
      </c>
      <c r="H45" s="6">
        <v>0.16233553287650401</v>
      </c>
      <c r="I45" s="9"/>
    </row>
    <row r="46" spans="1:9" ht="14.25">
      <c r="A46" s="2" t="s">
        <v>87</v>
      </c>
      <c r="B46" s="3" t="s">
        <v>49</v>
      </c>
      <c r="C46" s="4" t="s">
        <v>50</v>
      </c>
      <c r="D46" s="5">
        <v>44338</v>
      </c>
      <c r="E46" s="6">
        <v>9</v>
      </c>
      <c r="F46" s="6">
        <v>0.71155870482197403</v>
      </c>
      <c r="G46" s="5">
        <v>45045</v>
      </c>
      <c r="H46" s="6">
        <v>0.15390650537949099</v>
      </c>
      <c r="I46" s="9"/>
    </row>
    <row r="47" spans="1:9" ht="14.25">
      <c r="A47" s="2" t="s">
        <v>88</v>
      </c>
      <c r="B47" s="3" t="s">
        <v>34</v>
      </c>
      <c r="C47" s="4" t="s">
        <v>35</v>
      </c>
      <c r="D47" s="5">
        <v>44274</v>
      </c>
      <c r="E47" s="6">
        <v>6</v>
      </c>
      <c r="F47" s="6">
        <v>6.4033223650055093E-2</v>
      </c>
      <c r="G47" s="5">
        <v>45004</v>
      </c>
      <c r="H47" s="6">
        <v>4.2104998611888203E-3</v>
      </c>
      <c r="I47" s="9"/>
    </row>
    <row r="48" spans="1:9" ht="14.25">
      <c r="A48" s="2" t="s">
        <v>89</v>
      </c>
      <c r="B48" s="3" t="s">
        <v>46</v>
      </c>
      <c r="C48" s="4" t="s">
        <v>47</v>
      </c>
      <c r="D48" s="5">
        <v>44725</v>
      </c>
      <c r="E48" s="6">
        <v>7</v>
      </c>
      <c r="F48" s="6">
        <v>0.97988976578176401</v>
      </c>
      <c r="G48" s="5">
        <v>45051</v>
      </c>
      <c r="H48" s="6">
        <v>4.3763329833777703E-2</v>
      </c>
      <c r="I48" s="9"/>
    </row>
    <row r="49" spans="1:9" ht="14.25">
      <c r="A49" s="2" t="s">
        <v>90</v>
      </c>
      <c r="B49" s="3" t="s">
        <v>30</v>
      </c>
      <c r="C49" s="4" t="s">
        <v>31</v>
      </c>
      <c r="D49" s="5">
        <v>44340</v>
      </c>
      <c r="E49" s="6">
        <v>10</v>
      </c>
      <c r="F49" s="6">
        <v>0.702645841021446</v>
      </c>
      <c r="G49" s="5">
        <v>44928</v>
      </c>
      <c r="H49" s="6">
        <v>0.369783832169231</v>
      </c>
      <c r="I49" s="9"/>
    </row>
    <row r="50" spans="1:9" ht="14.25">
      <c r="A50" s="2" t="s">
        <v>91</v>
      </c>
      <c r="B50" s="3" t="s">
        <v>24</v>
      </c>
      <c r="C50" s="4" t="s">
        <v>25</v>
      </c>
      <c r="D50" s="5">
        <v>44502</v>
      </c>
      <c r="E50" s="6">
        <v>3</v>
      </c>
      <c r="F50" s="6">
        <v>6.7860349366877903E-2</v>
      </c>
      <c r="G50" s="5">
        <v>45026</v>
      </c>
      <c r="H50" s="6">
        <v>0.67274821533457596</v>
      </c>
      <c r="I50" s="9"/>
    </row>
    <row r="51" spans="1:9" ht="14.25">
      <c r="A51" s="2" t="s">
        <v>92</v>
      </c>
      <c r="B51" s="3" t="s">
        <v>54</v>
      </c>
      <c r="C51" s="4" t="s">
        <v>55</v>
      </c>
      <c r="D51" s="5">
        <v>44560</v>
      </c>
      <c r="E51" s="6">
        <v>9</v>
      </c>
      <c r="F51" s="6">
        <v>0.407593318710052</v>
      </c>
      <c r="G51" s="5">
        <v>44988</v>
      </c>
      <c r="H51" s="6">
        <v>0.63816582309695902</v>
      </c>
      <c r="I51" s="9"/>
    </row>
    <row r="52" spans="1:9" ht="14.25">
      <c r="A52" s="2" t="s">
        <v>93</v>
      </c>
      <c r="B52" s="3" t="s">
        <v>61</v>
      </c>
      <c r="C52" s="4" t="s">
        <v>62</v>
      </c>
      <c r="D52" s="5">
        <v>44361</v>
      </c>
      <c r="E52" s="6">
        <v>4</v>
      </c>
      <c r="F52" s="6">
        <v>0.52920695915069904</v>
      </c>
      <c r="G52" s="5">
        <v>44976</v>
      </c>
      <c r="H52" s="6">
        <v>0.13238552807963799</v>
      </c>
      <c r="I52" s="9"/>
    </row>
    <row r="53" spans="1:9" ht="14.25">
      <c r="A53" s="2" t="s">
        <v>94</v>
      </c>
      <c r="B53" s="3" t="s">
        <v>17</v>
      </c>
      <c r="C53" s="4" t="s">
        <v>18</v>
      </c>
      <c r="D53" s="5">
        <v>44343</v>
      </c>
      <c r="E53" s="6">
        <v>1</v>
      </c>
      <c r="F53" s="6">
        <v>0.83003541427247696</v>
      </c>
      <c r="G53" s="5">
        <v>44965</v>
      </c>
      <c r="H53" s="6">
        <v>0.52621974753425005</v>
      </c>
      <c r="I53" s="9"/>
    </row>
    <row r="54" spans="1:9" ht="14.25">
      <c r="A54" s="2" t="s">
        <v>95</v>
      </c>
      <c r="B54" s="3" t="s">
        <v>17</v>
      </c>
      <c r="C54" s="4" t="s">
        <v>18</v>
      </c>
      <c r="D54" s="5">
        <v>44382</v>
      </c>
      <c r="E54" s="6">
        <v>9</v>
      </c>
      <c r="F54" s="6">
        <v>0.13503720101241901</v>
      </c>
      <c r="G54" s="5">
        <v>45017</v>
      </c>
      <c r="H54" s="6">
        <v>0.85749627053317901</v>
      </c>
      <c r="I54" s="9"/>
    </row>
    <row r="55" spans="1:9" ht="14.25">
      <c r="A55" s="2" t="s">
        <v>96</v>
      </c>
      <c r="B55" s="3" t="s">
        <v>54</v>
      </c>
      <c r="C55" s="4" t="s">
        <v>55</v>
      </c>
      <c r="D55" s="5">
        <v>44680</v>
      </c>
      <c r="E55" s="6">
        <v>2</v>
      </c>
      <c r="F55" s="6">
        <v>0.18457397753690899</v>
      </c>
      <c r="G55" s="5">
        <v>45004</v>
      </c>
      <c r="H55" s="6">
        <v>0.74032989684219797</v>
      </c>
      <c r="I55" s="9"/>
    </row>
    <row r="56" spans="1:9" ht="14.25">
      <c r="A56" s="2" t="s">
        <v>97</v>
      </c>
      <c r="B56" s="3" t="s">
        <v>24</v>
      </c>
      <c r="C56" s="4" t="s">
        <v>25</v>
      </c>
      <c r="D56" s="5">
        <v>44816</v>
      </c>
      <c r="E56" s="6">
        <v>7</v>
      </c>
      <c r="F56" s="6">
        <v>1.4827494446379701E-2</v>
      </c>
      <c r="G56" s="5">
        <v>44978</v>
      </c>
      <c r="H56" s="6">
        <v>0.41833053891377597</v>
      </c>
      <c r="I56" s="9"/>
    </row>
    <row r="57" spans="1:9" ht="14.25">
      <c r="A57" s="2" t="s">
        <v>98</v>
      </c>
      <c r="B57" s="3" t="s">
        <v>27</v>
      </c>
      <c r="C57" s="4" t="s">
        <v>28</v>
      </c>
      <c r="D57" s="5">
        <v>44278</v>
      </c>
      <c r="E57" s="6">
        <v>4</v>
      </c>
      <c r="F57" s="6">
        <v>0.27577765609607802</v>
      </c>
      <c r="G57" s="5">
        <v>45071</v>
      </c>
      <c r="H57" s="6">
        <v>0.84349820990746505</v>
      </c>
      <c r="I57" s="9"/>
    </row>
    <row r="58" spans="1:9" ht="14.25">
      <c r="A58" s="2" t="s">
        <v>99</v>
      </c>
      <c r="B58" s="3" t="s">
        <v>43</v>
      </c>
      <c r="C58" s="4" t="s">
        <v>44</v>
      </c>
      <c r="D58" s="5">
        <v>44667</v>
      </c>
      <c r="E58" s="6">
        <v>2</v>
      </c>
      <c r="F58" s="6">
        <v>1.4798370860461801E-2</v>
      </c>
      <c r="G58" s="5">
        <v>45011</v>
      </c>
      <c r="H58" s="6">
        <v>0.65581817056759795</v>
      </c>
      <c r="I58" s="9"/>
    </row>
    <row r="59" spans="1:9" ht="14.25">
      <c r="A59" s="2" t="s">
        <v>100</v>
      </c>
      <c r="B59" s="3" t="s">
        <v>71</v>
      </c>
      <c r="C59" s="4" t="s">
        <v>50</v>
      </c>
      <c r="D59" s="5">
        <v>44420</v>
      </c>
      <c r="E59" s="6">
        <v>4</v>
      </c>
      <c r="F59" s="6">
        <v>0.71929697815108395</v>
      </c>
      <c r="G59" s="5">
        <v>45029</v>
      </c>
      <c r="H59" s="6">
        <v>5.4091466872212501E-2</v>
      </c>
      <c r="I59" s="9"/>
    </row>
    <row r="60" spans="1:9" ht="14.25">
      <c r="A60" s="2" t="s">
        <v>101</v>
      </c>
      <c r="B60" s="3" t="s">
        <v>34</v>
      </c>
      <c r="C60" s="4" t="s">
        <v>35</v>
      </c>
      <c r="D60" s="5">
        <v>44922</v>
      </c>
      <c r="E60" s="6">
        <v>6</v>
      </c>
      <c r="F60" s="6">
        <v>0.45894107528788403</v>
      </c>
      <c r="G60" s="5">
        <v>44952</v>
      </c>
      <c r="H60" s="6">
        <v>0.64879966285478297</v>
      </c>
      <c r="I60" s="9"/>
    </row>
    <row r="61" spans="1:9" ht="14.25">
      <c r="A61" s="2" t="s">
        <v>102</v>
      </c>
      <c r="B61" s="3" t="s">
        <v>103</v>
      </c>
      <c r="C61" s="4" t="s">
        <v>104</v>
      </c>
      <c r="D61" s="5">
        <v>44356</v>
      </c>
      <c r="E61" s="6">
        <v>6</v>
      </c>
      <c r="F61" s="6">
        <v>0.75369284563293804</v>
      </c>
      <c r="G61" s="5">
        <v>45000</v>
      </c>
      <c r="H61" s="6">
        <v>0.95310350121023102</v>
      </c>
      <c r="I61" s="9"/>
    </row>
    <row r="62" spans="1:9" ht="14.25">
      <c r="A62" s="2" t="s">
        <v>105</v>
      </c>
      <c r="B62" s="3" t="s">
        <v>39</v>
      </c>
      <c r="C62" s="4" t="s">
        <v>40</v>
      </c>
      <c r="D62" s="5">
        <v>44315</v>
      </c>
      <c r="E62" s="6">
        <v>7</v>
      </c>
      <c r="F62" s="6">
        <v>0.73835370024837998</v>
      </c>
      <c r="G62" s="5">
        <v>45020</v>
      </c>
      <c r="H62" s="6">
        <v>0.10264222958663</v>
      </c>
      <c r="I62" s="9"/>
    </row>
    <row r="63" spans="1:9" ht="14.25">
      <c r="A63" s="2" t="s">
        <v>106</v>
      </c>
      <c r="B63" s="3" t="s">
        <v>12</v>
      </c>
      <c r="C63" s="4" t="s">
        <v>13</v>
      </c>
      <c r="D63" s="5">
        <v>44860</v>
      </c>
      <c r="E63" s="6">
        <v>8</v>
      </c>
      <c r="F63" s="6">
        <v>0.585256316656942</v>
      </c>
      <c r="G63" s="5">
        <v>45041</v>
      </c>
      <c r="H63" s="6">
        <v>0.63534355964006295</v>
      </c>
      <c r="I63" s="9"/>
    </row>
    <row r="64" spans="1:9" ht="14.25">
      <c r="A64" s="2" t="s">
        <v>107</v>
      </c>
      <c r="B64" s="3" t="s">
        <v>58</v>
      </c>
      <c r="C64" s="4" t="s">
        <v>59</v>
      </c>
      <c r="D64" s="5">
        <v>44340</v>
      </c>
      <c r="E64" s="6">
        <v>9</v>
      </c>
      <c r="F64" s="6">
        <v>0.87646719833682096</v>
      </c>
      <c r="G64" s="5">
        <v>44957</v>
      </c>
      <c r="H64" s="6">
        <v>0.32932752883912297</v>
      </c>
      <c r="I64" s="9"/>
    </row>
    <row r="65" spans="1:9" ht="14.25">
      <c r="A65" s="2" t="s">
        <v>108</v>
      </c>
      <c r="B65" s="3" t="s">
        <v>34</v>
      </c>
      <c r="C65" s="4" t="s">
        <v>35</v>
      </c>
      <c r="D65" s="5">
        <v>44773</v>
      </c>
      <c r="E65" s="6">
        <v>5</v>
      </c>
      <c r="F65" s="6">
        <v>0.68720157697523698</v>
      </c>
      <c r="G65" s="5">
        <v>45054</v>
      </c>
      <c r="H65" s="6">
        <v>0.79990973215818495</v>
      </c>
      <c r="I65" s="9"/>
    </row>
    <row r="66" spans="1:9" ht="14.25">
      <c r="A66" s="2" t="s">
        <v>109</v>
      </c>
      <c r="B66" s="3" t="s">
        <v>27</v>
      </c>
      <c r="C66" s="4" t="s">
        <v>28</v>
      </c>
      <c r="D66" s="5">
        <v>44347</v>
      </c>
      <c r="E66" s="6">
        <v>1</v>
      </c>
      <c r="F66" s="6">
        <v>0.48588703608226103</v>
      </c>
      <c r="G66" s="5">
        <v>45035</v>
      </c>
      <c r="H66" s="6">
        <v>0.45518918214522902</v>
      </c>
      <c r="I66" s="9"/>
    </row>
    <row r="67" spans="1:9" ht="14.25">
      <c r="A67" s="2" t="s">
        <v>110</v>
      </c>
      <c r="B67" s="3" t="s">
        <v>71</v>
      </c>
      <c r="C67" s="4" t="s">
        <v>50</v>
      </c>
      <c r="D67" s="5">
        <v>44659</v>
      </c>
      <c r="E67" s="6">
        <v>2</v>
      </c>
      <c r="F67" s="6">
        <v>0.68555193640676504</v>
      </c>
      <c r="G67" s="5">
        <v>45014</v>
      </c>
      <c r="H67" s="6">
        <v>0.40035912772023502</v>
      </c>
      <c r="I67" s="9"/>
    </row>
    <row r="68" spans="1:9" ht="14.25">
      <c r="A68" s="2" t="s">
        <v>111</v>
      </c>
      <c r="B68" s="3" t="s">
        <v>58</v>
      </c>
      <c r="C68" s="4" t="s">
        <v>59</v>
      </c>
      <c r="D68" s="5">
        <v>44679</v>
      </c>
      <c r="E68" s="6">
        <v>1</v>
      </c>
      <c r="F68" s="6">
        <v>0.574831092396204</v>
      </c>
      <c r="G68" s="5">
        <v>44936</v>
      </c>
      <c r="H68" s="6">
        <v>0.14703843884491</v>
      </c>
      <c r="I68" s="9"/>
    </row>
    <row r="69" spans="1:9" ht="14.25">
      <c r="A69" s="2" t="s">
        <v>112</v>
      </c>
      <c r="B69" s="3" t="s">
        <v>81</v>
      </c>
      <c r="C69" s="4" t="s">
        <v>62</v>
      </c>
      <c r="D69" s="5">
        <v>44800</v>
      </c>
      <c r="E69" s="6">
        <v>4</v>
      </c>
      <c r="F69" s="6">
        <v>0.89057060464664195</v>
      </c>
      <c r="G69" s="5">
        <v>45004</v>
      </c>
      <c r="H69" s="6">
        <v>0.24766978894018499</v>
      </c>
      <c r="I69" s="9"/>
    </row>
    <row r="70" spans="1:9" ht="14.25">
      <c r="A70" s="2" t="s">
        <v>113</v>
      </c>
      <c r="B70" s="3" t="s">
        <v>9</v>
      </c>
      <c r="C70" s="4" t="s">
        <v>10</v>
      </c>
      <c r="D70" s="5">
        <v>44889</v>
      </c>
      <c r="E70" s="6">
        <v>4</v>
      </c>
      <c r="F70" s="6">
        <v>0.64606533640427699</v>
      </c>
      <c r="G70" s="5">
        <v>44977</v>
      </c>
      <c r="H70" s="6">
        <v>0.75502767909149604</v>
      </c>
      <c r="I70" s="9"/>
    </row>
    <row r="71" spans="1:9" ht="14.25">
      <c r="A71" s="2" t="s">
        <v>114</v>
      </c>
      <c r="B71" s="3" t="s">
        <v>103</v>
      </c>
      <c r="C71" s="4" t="s">
        <v>104</v>
      </c>
      <c r="D71" s="5">
        <v>44574</v>
      </c>
      <c r="E71" s="6">
        <v>5</v>
      </c>
      <c r="F71" s="6">
        <v>2.4408043245797401E-2</v>
      </c>
      <c r="G71" s="5">
        <v>45041</v>
      </c>
      <c r="H71" s="6">
        <v>0.11842008103757801</v>
      </c>
      <c r="I71" s="9"/>
    </row>
    <row r="72" spans="1:9" ht="14.25">
      <c r="A72" s="2" t="s">
        <v>115</v>
      </c>
      <c r="B72" s="3" t="s">
        <v>61</v>
      </c>
      <c r="C72" s="4" t="s">
        <v>62</v>
      </c>
      <c r="D72" s="5">
        <v>44752</v>
      </c>
      <c r="E72" s="6">
        <v>1</v>
      </c>
      <c r="F72" s="6">
        <v>0.144587962809021</v>
      </c>
      <c r="G72" s="5">
        <v>44974</v>
      </c>
      <c r="H72" s="6">
        <v>0.22337306376263399</v>
      </c>
      <c r="I72" s="9"/>
    </row>
    <row r="73" spans="1:9" ht="14.25">
      <c r="A73" s="2" t="s">
        <v>116</v>
      </c>
      <c r="B73" s="3" t="s">
        <v>46</v>
      </c>
      <c r="C73" s="4" t="s">
        <v>47</v>
      </c>
      <c r="D73" s="5">
        <v>44786</v>
      </c>
      <c r="E73" s="6">
        <v>7</v>
      </c>
      <c r="F73" s="6">
        <v>1.31744392227479E-2</v>
      </c>
      <c r="G73" s="5">
        <v>45030</v>
      </c>
      <c r="H73" s="6">
        <v>0.97185682841004495</v>
      </c>
      <c r="I73" s="9"/>
    </row>
    <row r="74" spans="1:9" ht="14.25">
      <c r="A74" s="2" t="s">
        <v>117</v>
      </c>
      <c r="B74" s="3" t="s">
        <v>21</v>
      </c>
      <c r="C74" s="4" t="s">
        <v>22</v>
      </c>
      <c r="D74" s="5">
        <v>44644</v>
      </c>
      <c r="E74" s="6">
        <v>4</v>
      </c>
      <c r="F74" s="6">
        <v>0.81530857906975795</v>
      </c>
      <c r="G74" s="5">
        <v>44954</v>
      </c>
      <c r="H74" s="6">
        <v>0.48260987316073201</v>
      </c>
      <c r="I74" s="9"/>
    </row>
    <row r="75" spans="1:9" ht="14.25">
      <c r="A75" s="2" t="s">
        <v>118</v>
      </c>
      <c r="B75" s="3" t="s">
        <v>17</v>
      </c>
      <c r="C75" s="4" t="s">
        <v>18</v>
      </c>
      <c r="D75" s="5">
        <v>44554</v>
      </c>
      <c r="E75" s="6">
        <v>6</v>
      </c>
      <c r="F75" s="6">
        <v>0.15491081045699601</v>
      </c>
      <c r="G75" s="5">
        <v>45064</v>
      </c>
      <c r="H75" s="6">
        <v>0.76802453424894601</v>
      </c>
      <c r="I75" s="9"/>
    </row>
    <row r="76" spans="1:9" ht="14.25">
      <c r="A76" s="2" t="s">
        <v>119</v>
      </c>
      <c r="B76" s="3" t="s">
        <v>58</v>
      </c>
      <c r="C76" s="4" t="s">
        <v>59</v>
      </c>
      <c r="D76" s="5">
        <v>44706</v>
      </c>
      <c r="E76" s="6">
        <v>1</v>
      </c>
      <c r="F76" s="6">
        <v>0.269555056043635</v>
      </c>
      <c r="G76" s="5">
        <v>45000</v>
      </c>
      <c r="H76" s="6">
        <v>0.122182361751799</v>
      </c>
      <c r="I76" s="9"/>
    </row>
    <row r="77" spans="1:9" ht="14.25">
      <c r="A77" s="2" t="s">
        <v>120</v>
      </c>
      <c r="B77" s="3" t="s">
        <v>15</v>
      </c>
      <c r="C77" s="4" t="s">
        <v>10</v>
      </c>
      <c r="D77" s="5">
        <v>44794</v>
      </c>
      <c r="E77" s="6">
        <v>3</v>
      </c>
      <c r="F77" s="6">
        <v>0.71512622981990404</v>
      </c>
      <c r="G77" s="5">
        <v>45023</v>
      </c>
      <c r="H77" s="6">
        <v>2.82332058926804E-3</v>
      </c>
      <c r="I77" s="9"/>
    </row>
    <row r="78" spans="1:9" ht="14.25">
      <c r="A78" s="2" t="s">
        <v>121</v>
      </c>
      <c r="B78" s="3" t="s">
        <v>34</v>
      </c>
      <c r="C78" s="4" t="s">
        <v>35</v>
      </c>
      <c r="D78" s="5">
        <v>44423</v>
      </c>
      <c r="E78" s="6">
        <v>5</v>
      </c>
      <c r="F78" s="6">
        <v>0.517478802978105</v>
      </c>
      <c r="G78" s="5">
        <v>44991</v>
      </c>
      <c r="H78" s="6">
        <v>0.194941670945359</v>
      </c>
      <c r="I78" s="9"/>
    </row>
    <row r="79" spans="1:9" ht="14.25">
      <c r="A79" s="2" t="s">
        <v>122</v>
      </c>
      <c r="B79" s="3" t="s">
        <v>58</v>
      </c>
      <c r="C79" s="4" t="s">
        <v>59</v>
      </c>
      <c r="D79" s="5">
        <v>44270</v>
      </c>
      <c r="E79" s="6">
        <v>3</v>
      </c>
      <c r="F79" s="6">
        <v>0.98933192835650696</v>
      </c>
      <c r="G79" s="5">
        <v>44952</v>
      </c>
      <c r="H79" s="6">
        <v>0.116747383128981</v>
      </c>
      <c r="I79" s="9"/>
    </row>
    <row r="80" spans="1:9" ht="14.25">
      <c r="A80" s="2" t="s">
        <v>123</v>
      </c>
      <c r="B80" s="3" t="s">
        <v>73</v>
      </c>
      <c r="C80" s="4" t="s">
        <v>74</v>
      </c>
      <c r="D80" s="5">
        <v>44852</v>
      </c>
      <c r="E80" s="6">
        <v>5</v>
      </c>
      <c r="F80" s="6">
        <v>0.32415684712172899</v>
      </c>
      <c r="G80" s="5">
        <v>45051</v>
      </c>
      <c r="H80" s="6">
        <v>0.28398523541759901</v>
      </c>
      <c r="I80" s="9"/>
    </row>
    <row r="81" spans="1:9" ht="14.25">
      <c r="A81" s="2" t="s">
        <v>124</v>
      </c>
      <c r="B81" s="3" t="s">
        <v>9</v>
      </c>
      <c r="C81" s="4" t="s">
        <v>10</v>
      </c>
      <c r="D81" s="5">
        <v>44343</v>
      </c>
      <c r="E81" s="6">
        <v>6</v>
      </c>
      <c r="F81" s="6">
        <v>0.64559425958074801</v>
      </c>
      <c r="G81" s="5">
        <v>45057</v>
      </c>
      <c r="H81" s="6">
        <v>0.74976354481356899</v>
      </c>
      <c r="I81" s="9"/>
    </row>
    <row r="82" spans="1:9" ht="14.25">
      <c r="A82" s="2" t="s">
        <v>125</v>
      </c>
      <c r="B82" s="3" t="s">
        <v>103</v>
      </c>
      <c r="C82" s="4" t="s">
        <v>104</v>
      </c>
      <c r="D82" s="5">
        <v>44643</v>
      </c>
      <c r="E82" s="6">
        <v>10</v>
      </c>
      <c r="F82" s="6">
        <v>0.13502577444900801</v>
      </c>
      <c r="G82" s="5">
        <v>45050</v>
      </c>
      <c r="H82" s="6">
        <v>9.7289928257875094E-2</v>
      </c>
      <c r="I82" s="9"/>
    </row>
    <row r="83" spans="1:9" ht="14.25">
      <c r="A83" s="2" t="s">
        <v>126</v>
      </c>
      <c r="B83" s="3" t="s">
        <v>43</v>
      </c>
      <c r="C83" s="4" t="s">
        <v>44</v>
      </c>
      <c r="D83" s="5">
        <v>44353</v>
      </c>
      <c r="E83" s="6">
        <v>8</v>
      </c>
      <c r="F83" s="6">
        <v>0.74864767306151003</v>
      </c>
      <c r="G83" s="5">
        <v>45075</v>
      </c>
      <c r="H83" s="6">
        <v>0.91487830622236999</v>
      </c>
      <c r="I83" s="9"/>
    </row>
    <row r="84" spans="1:9" ht="14.25">
      <c r="A84" s="2" t="s">
        <v>127</v>
      </c>
      <c r="B84" s="3" t="s">
        <v>49</v>
      </c>
      <c r="C84" s="4" t="s">
        <v>50</v>
      </c>
      <c r="D84" s="5">
        <v>44703</v>
      </c>
      <c r="E84" s="6">
        <v>1</v>
      </c>
      <c r="F84" s="6">
        <v>0.105161391848884</v>
      </c>
      <c r="G84" s="5">
        <v>45054</v>
      </c>
      <c r="H84" s="6">
        <v>0.22690729464404399</v>
      </c>
      <c r="I84" s="9"/>
    </row>
    <row r="85" spans="1:9" ht="14.25">
      <c r="A85" s="2" t="s">
        <v>128</v>
      </c>
      <c r="B85" s="3" t="s">
        <v>129</v>
      </c>
      <c r="C85" s="4" t="s">
        <v>22</v>
      </c>
      <c r="D85" s="5">
        <v>44742</v>
      </c>
      <c r="E85" s="6">
        <v>6</v>
      </c>
      <c r="F85" s="6">
        <v>0.11408685507641</v>
      </c>
      <c r="G85" s="5">
        <v>44954</v>
      </c>
      <c r="H85" s="6">
        <v>0.33571676903915298</v>
      </c>
      <c r="I85" s="9"/>
    </row>
    <row r="86" spans="1:9" ht="14.25">
      <c r="A86" s="2" t="s">
        <v>130</v>
      </c>
      <c r="B86" s="3" t="s">
        <v>61</v>
      </c>
      <c r="C86" s="4" t="s">
        <v>62</v>
      </c>
      <c r="D86" s="5">
        <v>44600</v>
      </c>
      <c r="E86" s="6">
        <v>1</v>
      </c>
      <c r="F86" s="6">
        <v>0.58372843681935904</v>
      </c>
      <c r="G86" s="5">
        <v>44997</v>
      </c>
      <c r="H86" s="6">
        <v>0.38186645762982302</v>
      </c>
      <c r="I86" s="9"/>
    </row>
    <row r="87" spans="1:9" ht="14.25">
      <c r="A87" s="2" t="s">
        <v>131</v>
      </c>
      <c r="B87" s="3" t="s">
        <v>129</v>
      </c>
      <c r="C87" s="4" t="s">
        <v>22</v>
      </c>
      <c r="D87" s="5">
        <v>44721</v>
      </c>
      <c r="E87" s="6">
        <v>6</v>
      </c>
      <c r="F87" s="6">
        <v>1.6069181318315098E-2</v>
      </c>
      <c r="G87" s="5">
        <v>44928</v>
      </c>
      <c r="H87" s="6">
        <v>0.93551003990677095</v>
      </c>
      <c r="I87" s="9"/>
    </row>
    <row r="88" spans="1:9" ht="14.25">
      <c r="A88" s="2" t="s">
        <v>132</v>
      </c>
      <c r="B88" s="3" t="s">
        <v>103</v>
      </c>
      <c r="C88" s="4" t="s">
        <v>104</v>
      </c>
      <c r="D88" s="5">
        <v>44544</v>
      </c>
      <c r="E88" s="6">
        <v>7</v>
      </c>
      <c r="F88" s="6">
        <v>0.77483286137645402</v>
      </c>
      <c r="G88" s="5">
        <v>44977</v>
      </c>
      <c r="H88" s="6">
        <v>0.83972936204120796</v>
      </c>
      <c r="I88" s="9"/>
    </row>
    <row r="89" spans="1:9" ht="14.25">
      <c r="A89" s="2" t="s">
        <v>133</v>
      </c>
      <c r="B89" s="3" t="s">
        <v>34</v>
      </c>
      <c r="C89" s="4" t="s">
        <v>35</v>
      </c>
      <c r="D89" s="5">
        <v>44304</v>
      </c>
      <c r="E89" s="6">
        <v>6</v>
      </c>
      <c r="F89" s="6">
        <v>0.83415711448827101</v>
      </c>
      <c r="G89" s="5">
        <v>45032</v>
      </c>
      <c r="H89" s="6">
        <v>0.73754903864989096</v>
      </c>
      <c r="I89" s="9"/>
    </row>
    <row r="90" spans="1:9" ht="14.25">
      <c r="A90" s="2" t="s">
        <v>134</v>
      </c>
      <c r="B90" s="3" t="s">
        <v>15</v>
      </c>
      <c r="C90" s="4" t="s">
        <v>10</v>
      </c>
      <c r="D90" s="5">
        <v>44285</v>
      </c>
      <c r="E90" s="6">
        <v>7</v>
      </c>
      <c r="F90" s="6">
        <v>0.27349998025771599</v>
      </c>
      <c r="G90" s="5">
        <v>45056</v>
      </c>
      <c r="H90" s="6">
        <v>0.398707058551939</v>
      </c>
      <c r="I90" s="9"/>
    </row>
    <row r="91" spans="1:9" ht="14.25">
      <c r="A91" s="2" t="s">
        <v>135</v>
      </c>
      <c r="B91" s="3" t="s">
        <v>21</v>
      </c>
      <c r="C91" s="4" t="s">
        <v>22</v>
      </c>
      <c r="D91" s="5">
        <v>44279</v>
      </c>
      <c r="E91" s="6">
        <v>10</v>
      </c>
      <c r="F91" s="6">
        <v>0.17894362318854701</v>
      </c>
      <c r="G91" s="5">
        <v>45026</v>
      </c>
      <c r="H91" s="6">
        <v>0.27983535659688702</v>
      </c>
      <c r="I91" s="9"/>
    </row>
    <row r="92" spans="1:9" ht="14.25">
      <c r="A92" s="2" t="s">
        <v>136</v>
      </c>
      <c r="B92" s="3" t="s">
        <v>9</v>
      </c>
      <c r="C92" s="4" t="s">
        <v>10</v>
      </c>
      <c r="D92" s="5">
        <v>44206</v>
      </c>
      <c r="E92" s="6">
        <v>2</v>
      </c>
      <c r="F92" s="6">
        <v>0.90504227111458202</v>
      </c>
      <c r="G92" s="5">
        <v>44957</v>
      </c>
      <c r="H92" s="6">
        <v>0.45883084719257899</v>
      </c>
      <c r="I92" s="9"/>
    </row>
    <row r="93" spans="1:9" ht="14.25">
      <c r="A93" s="2" t="s">
        <v>137</v>
      </c>
      <c r="B93" s="3" t="s">
        <v>58</v>
      </c>
      <c r="C93" s="4" t="s">
        <v>59</v>
      </c>
      <c r="D93" s="5">
        <v>44557</v>
      </c>
      <c r="E93" s="6">
        <v>4</v>
      </c>
      <c r="F93" s="6">
        <v>3.6105377236760302E-3</v>
      </c>
      <c r="G93" s="5">
        <v>44993</v>
      </c>
      <c r="H93" s="6">
        <v>0.430410454177235</v>
      </c>
      <c r="I93" s="9"/>
    </row>
    <row r="94" spans="1:9" ht="14.25">
      <c r="A94" s="2" t="s">
        <v>138</v>
      </c>
      <c r="B94" s="3" t="s">
        <v>81</v>
      </c>
      <c r="C94" s="4" t="s">
        <v>62</v>
      </c>
      <c r="D94" s="5">
        <v>44366</v>
      </c>
      <c r="E94" s="6">
        <v>2</v>
      </c>
      <c r="F94" s="6">
        <v>0.256532208615462</v>
      </c>
      <c r="G94" s="5">
        <v>44975</v>
      </c>
      <c r="H94" s="6">
        <v>0.25683090454434099</v>
      </c>
      <c r="I94" s="9"/>
    </row>
    <row r="95" spans="1:9" ht="14.25">
      <c r="A95" s="2" t="s">
        <v>139</v>
      </c>
      <c r="B95" s="3" t="s">
        <v>103</v>
      </c>
      <c r="C95" s="4" t="s">
        <v>104</v>
      </c>
      <c r="D95" s="5">
        <v>44250</v>
      </c>
      <c r="E95" s="6">
        <v>5</v>
      </c>
      <c r="F95" s="6">
        <v>0.70021844930653598</v>
      </c>
      <c r="G95" s="5">
        <v>45008</v>
      </c>
      <c r="H95" s="6">
        <v>0.61187665279577597</v>
      </c>
      <c r="I95" s="9"/>
    </row>
    <row r="96" spans="1:9" ht="14.25">
      <c r="A96" s="2" t="s">
        <v>140</v>
      </c>
      <c r="B96" s="3" t="s">
        <v>21</v>
      </c>
      <c r="C96" s="4" t="s">
        <v>22</v>
      </c>
      <c r="D96" s="5">
        <v>44235</v>
      </c>
      <c r="E96" s="6">
        <v>2</v>
      </c>
      <c r="F96" s="6">
        <v>0.86236623667253698</v>
      </c>
      <c r="G96" s="5">
        <v>45015</v>
      </c>
      <c r="H96" s="6">
        <v>0.56413054876588398</v>
      </c>
      <c r="I96" s="9"/>
    </row>
    <row r="97" spans="1:9" ht="14.25">
      <c r="A97" s="2" t="s">
        <v>141</v>
      </c>
      <c r="B97" s="3" t="s">
        <v>129</v>
      </c>
      <c r="C97" s="4" t="s">
        <v>22</v>
      </c>
      <c r="D97" s="5">
        <v>44774</v>
      </c>
      <c r="E97" s="6">
        <v>5</v>
      </c>
      <c r="F97" s="6">
        <v>0.309379274915278</v>
      </c>
      <c r="G97" s="5">
        <v>45015</v>
      </c>
      <c r="H97" s="6">
        <v>6.4512653240185102E-3</v>
      </c>
      <c r="I97" s="9"/>
    </row>
    <row r="98" spans="1:9" ht="14.25">
      <c r="A98" s="2" t="s">
        <v>142</v>
      </c>
      <c r="B98" s="3" t="s">
        <v>103</v>
      </c>
      <c r="C98" s="4" t="s">
        <v>104</v>
      </c>
      <c r="D98" s="5">
        <v>44396</v>
      </c>
      <c r="E98" s="6">
        <v>7</v>
      </c>
      <c r="F98" s="6">
        <v>0.55211790295911001</v>
      </c>
      <c r="G98" s="5">
        <v>45011</v>
      </c>
      <c r="H98" s="6">
        <v>0.33871055216854301</v>
      </c>
      <c r="I98" s="9"/>
    </row>
    <row r="99" spans="1:9" ht="14.25">
      <c r="A99" s="2" t="s">
        <v>143</v>
      </c>
      <c r="B99" s="3" t="s">
        <v>129</v>
      </c>
      <c r="C99" s="4" t="s">
        <v>22</v>
      </c>
      <c r="D99" s="5">
        <v>44491</v>
      </c>
      <c r="E99" s="6">
        <v>4</v>
      </c>
      <c r="F99" s="6">
        <v>0.20150989296011099</v>
      </c>
      <c r="G99" s="5">
        <v>45067</v>
      </c>
      <c r="H99" s="6">
        <v>0.23936851527945999</v>
      </c>
      <c r="I99" s="9"/>
    </row>
    <row r="100" spans="1:9" ht="14.25">
      <c r="A100" s="2" t="s">
        <v>144</v>
      </c>
      <c r="B100" s="3" t="s">
        <v>15</v>
      </c>
      <c r="C100" s="4" t="s">
        <v>10</v>
      </c>
      <c r="D100" s="5">
        <v>44534</v>
      </c>
      <c r="E100" s="6">
        <v>5</v>
      </c>
      <c r="F100" s="6">
        <v>0.18484009932934201</v>
      </c>
      <c r="G100" s="5">
        <v>44952</v>
      </c>
      <c r="H100" s="6">
        <v>0.17511595791935999</v>
      </c>
      <c r="I100" s="9"/>
    </row>
    <row r="101" spans="1:9" ht="14.25">
      <c r="A101" s="2" t="s">
        <v>145</v>
      </c>
      <c r="B101" s="3" t="s">
        <v>30</v>
      </c>
      <c r="C101" s="4" t="s">
        <v>31</v>
      </c>
      <c r="D101" s="5">
        <v>44872</v>
      </c>
      <c r="E101" s="6">
        <v>6</v>
      </c>
      <c r="F101" s="6">
        <v>0.34955930087119302</v>
      </c>
      <c r="G101" s="5">
        <v>44929</v>
      </c>
      <c r="H101" s="6">
        <v>0.53327527116873796</v>
      </c>
      <c r="I101" s="9"/>
    </row>
    <row r="102" spans="1:9" ht="14.25">
      <c r="A102" s="2" t="s">
        <v>146</v>
      </c>
      <c r="B102" s="3" t="s">
        <v>103</v>
      </c>
      <c r="C102" s="4" t="s">
        <v>104</v>
      </c>
      <c r="D102" s="5">
        <v>44468</v>
      </c>
      <c r="E102" s="6">
        <v>3</v>
      </c>
      <c r="F102" s="6">
        <v>0.93189165277683395</v>
      </c>
      <c r="G102" s="5">
        <v>44962</v>
      </c>
      <c r="H102" s="6">
        <v>2.43785689040747E-2</v>
      </c>
      <c r="I102" s="9"/>
    </row>
    <row r="103" spans="1:9" ht="14.25">
      <c r="A103" s="2" t="s">
        <v>147</v>
      </c>
      <c r="B103" s="3" t="s">
        <v>73</v>
      </c>
      <c r="C103" s="4" t="s">
        <v>74</v>
      </c>
      <c r="D103" s="5">
        <v>44921</v>
      </c>
      <c r="E103" s="6">
        <v>10</v>
      </c>
      <c r="F103" s="6">
        <v>0.68735083469695002</v>
      </c>
      <c r="G103" s="5">
        <v>44990</v>
      </c>
      <c r="H103" s="6">
        <v>0.41787841201432302</v>
      </c>
      <c r="I103" s="9"/>
    </row>
    <row r="104" spans="1:9" ht="14.25">
      <c r="A104" s="2" t="s">
        <v>148</v>
      </c>
      <c r="B104" s="3" t="s">
        <v>39</v>
      </c>
      <c r="C104" s="4" t="s">
        <v>40</v>
      </c>
      <c r="D104" s="5">
        <v>44605</v>
      </c>
      <c r="E104" s="6">
        <v>5</v>
      </c>
      <c r="F104" s="6">
        <v>0.17493546348643599</v>
      </c>
      <c r="G104" s="5">
        <v>45001</v>
      </c>
      <c r="H104" s="6">
        <v>0.83666855090333903</v>
      </c>
      <c r="I104" s="9"/>
    </row>
    <row r="105" spans="1:9" ht="14.25">
      <c r="A105" s="2" t="s">
        <v>149</v>
      </c>
      <c r="B105" s="3" t="s">
        <v>103</v>
      </c>
      <c r="C105" s="4" t="s">
        <v>104</v>
      </c>
      <c r="D105" s="5">
        <v>44659</v>
      </c>
      <c r="E105" s="6">
        <v>7</v>
      </c>
      <c r="F105" s="6">
        <v>0.75215132834364595</v>
      </c>
      <c r="G105" s="5">
        <v>45051</v>
      </c>
      <c r="H105" s="6">
        <v>2.6168363795351798E-2</v>
      </c>
      <c r="I105" s="9"/>
    </row>
    <row r="106" spans="1:9" ht="14.25">
      <c r="A106" s="2" t="s">
        <v>150</v>
      </c>
      <c r="B106" s="3" t="s">
        <v>39</v>
      </c>
      <c r="C106" s="4" t="s">
        <v>40</v>
      </c>
      <c r="D106" s="5">
        <v>44263</v>
      </c>
      <c r="E106" s="6">
        <v>1</v>
      </c>
      <c r="F106" s="6">
        <v>0.30953917056170199</v>
      </c>
      <c r="G106" s="5">
        <v>45058</v>
      </c>
      <c r="H106" s="6">
        <v>0.66043948995340296</v>
      </c>
      <c r="I106" s="9"/>
    </row>
    <row r="107" spans="1:9" ht="14.25">
      <c r="A107" s="2" t="s">
        <v>151</v>
      </c>
      <c r="B107" s="3" t="s">
        <v>61</v>
      </c>
      <c r="C107" s="4" t="s">
        <v>62</v>
      </c>
      <c r="D107" s="5">
        <v>44422</v>
      </c>
      <c r="E107" s="6">
        <v>10</v>
      </c>
      <c r="F107" s="6">
        <v>0.62147829765565299</v>
      </c>
      <c r="G107" s="5">
        <v>45045</v>
      </c>
      <c r="H107" s="6">
        <v>0.44466276095616802</v>
      </c>
      <c r="I107" s="9"/>
    </row>
    <row r="108" spans="1:9" ht="14.25">
      <c r="A108" s="2" t="s">
        <v>152</v>
      </c>
      <c r="B108" s="3" t="s">
        <v>58</v>
      </c>
      <c r="C108" s="4" t="s">
        <v>59</v>
      </c>
      <c r="D108" s="5">
        <v>44903</v>
      </c>
      <c r="E108" s="6">
        <v>7</v>
      </c>
      <c r="F108" s="6">
        <v>0.60752716500644899</v>
      </c>
      <c r="G108" s="5">
        <v>45029</v>
      </c>
      <c r="H108" s="6">
        <v>0.90286839870973001</v>
      </c>
      <c r="I108" s="9"/>
    </row>
    <row r="109" spans="1:9" ht="14.25">
      <c r="A109" s="2" t="s">
        <v>153</v>
      </c>
      <c r="B109" s="3" t="s">
        <v>46</v>
      </c>
      <c r="C109" s="4" t="s">
        <v>47</v>
      </c>
      <c r="D109" s="5">
        <v>44810</v>
      </c>
      <c r="E109" s="6">
        <v>10</v>
      </c>
      <c r="F109" s="6">
        <v>8.0126723415399101E-2</v>
      </c>
      <c r="G109" s="5">
        <v>44973</v>
      </c>
      <c r="H109" s="6">
        <v>0.51635999068168204</v>
      </c>
      <c r="I109" s="9"/>
    </row>
    <row r="110" spans="1:9" ht="14.25">
      <c r="A110" s="2" t="s">
        <v>154</v>
      </c>
      <c r="B110" s="3" t="s">
        <v>21</v>
      </c>
      <c r="C110" s="4" t="s">
        <v>22</v>
      </c>
      <c r="D110" s="5">
        <v>44716</v>
      </c>
      <c r="E110" s="6">
        <v>1</v>
      </c>
      <c r="F110" s="6">
        <v>0.165768699711766</v>
      </c>
      <c r="G110" s="5">
        <v>44958</v>
      </c>
      <c r="H110" s="6">
        <v>0.35219920122081899</v>
      </c>
      <c r="I110" s="9"/>
    </row>
    <row r="111" spans="1:9" ht="14.25">
      <c r="A111" s="2" t="s">
        <v>155</v>
      </c>
      <c r="B111" s="3" t="s">
        <v>58</v>
      </c>
      <c r="C111" s="4" t="s">
        <v>59</v>
      </c>
      <c r="D111" s="5">
        <v>44276</v>
      </c>
      <c r="E111" s="6">
        <v>7</v>
      </c>
      <c r="F111" s="6">
        <v>0.95038285910889397</v>
      </c>
      <c r="G111" s="5">
        <v>45067</v>
      </c>
      <c r="H111" s="6">
        <v>0.493774747227402</v>
      </c>
      <c r="I111" s="9"/>
    </row>
    <row r="112" spans="1:9" ht="14.25">
      <c r="A112" s="2" t="s">
        <v>156</v>
      </c>
      <c r="B112" s="3" t="s">
        <v>17</v>
      </c>
      <c r="C112" s="4" t="s">
        <v>18</v>
      </c>
      <c r="D112" s="5">
        <v>44709</v>
      </c>
      <c r="E112" s="6">
        <v>8</v>
      </c>
      <c r="F112" s="6">
        <v>0.34324624551472199</v>
      </c>
      <c r="G112" s="5">
        <v>44980</v>
      </c>
      <c r="H112" s="6">
        <v>5.5941217861464797E-2</v>
      </c>
      <c r="I112" s="9"/>
    </row>
    <row r="113" spans="1:9" ht="14.25">
      <c r="A113" s="2" t="s">
        <v>157</v>
      </c>
      <c r="B113" s="3" t="s">
        <v>58</v>
      </c>
      <c r="C113" s="4" t="s">
        <v>59</v>
      </c>
      <c r="D113" s="5">
        <v>44907</v>
      </c>
      <c r="E113" s="6">
        <v>9</v>
      </c>
      <c r="F113" s="6">
        <v>0.88394112549340798</v>
      </c>
      <c r="G113" s="5">
        <v>44949</v>
      </c>
      <c r="H113" s="6">
        <v>0.170650898099275</v>
      </c>
      <c r="I113" s="9"/>
    </row>
    <row r="114" spans="1:9" ht="14.25">
      <c r="A114" s="2" t="s">
        <v>158</v>
      </c>
      <c r="B114" s="3" t="s">
        <v>12</v>
      </c>
      <c r="C114" s="4" t="s">
        <v>13</v>
      </c>
      <c r="D114" s="5">
        <v>44578</v>
      </c>
      <c r="E114" s="6">
        <v>2</v>
      </c>
      <c r="F114" s="6">
        <v>0.19124266932346201</v>
      </c>
      <c r="G114" s="5">
        <v>44953</v>
      </c>
      <c r="H114" s="6">
        <v>0.44988838372928502</v>
      </c>
      <c r="I114" s="9"/>
    </row>
    <row r="115" spans="1:9" ht="14.25">
      <c r="A115" s="2" t="s">
        <v>159</v>
      </c>
      <c r="B115" s="3" t="s">
        <v>43</v>
      </c>
      <c r="C115" s="4" t="s">
        <v>44</v>
      </c>
      <c r="D115" s="5">
        <v>44324</v>
      </c>
      <c r="E115" s="6">
        <v>9</v>
      </c>
      <c r="F115" s="6">
        <v>0.70237024955138705</v>
      </c>
      <c r="G115" s="5">
        <v>45039</v>
      </c>
      <c r="H115" s="6">
        <v>0.23474526869976101</v>
      </c>
      <c r="I115" s="9"/>
    </row>
    <row r="116" spans="1:9" ht="14.25">
      <c r="A116" s="2" t="s">
        <v>160</v>
      </c>
      <c r="B116" s="3" t="s">
        <v>24</v>
      </c>
      <c r="C116" s="4" t="s">
        <v>25</v>
      </c>
      <c r="D116" s="5">
        <v>44464</v>
      </c>
      <c r="E116" s="6">
        <v>1</v>
      </c>
      <c r="F116" s="6">
        <v>0.47664293083306503</v>
      </c>
      <c r="G116" s="5">
        <v>44998</v>
      </c>
      <c r="H116" s="6">
        <v>0.23032087534575099</v>
      </c>
      <c r="I116" s="9"/>
    </row>
    <row r="117" spans="1:9" ht="14.25">
      <c r="A117" s="2" t="s">
        <v>161</v>
      </c>
      <c r="B117" s="3" t="s">
        <v>61</v>
      </c>
      <c r="C117" s="4" t="s">
        <v>62</v>
      </c>
      <c r="D117" s="5">
        <v>44581</v>
      </c>
      <c r="E117" s="6">
        <v>8</v>
      </c>
      <c r="F117" s="6">
        <v>0.52894618812607497</v>
      </c>
      <c r="G117" s="5">
        <v>44998</v>
      </c>
      <c r="H117" s="6">
        <v>0.14894391596640999</v>
      </c>
      <c r="I117" s="9"/>
    </row>
    <row r="118" spans="1:9" ht="14.25">
      <c r="A118" s="2" t="s">
        <v>162</v>
      </c>
      <c r="B118" s="3" t="s">
        <v>103</v>
      </c>
      <c r="C118" s="4" t="s">
        <v>104</v>
      </c>
      <c r="D118" s="5">
        <v>44595</v>
      </c>
      <c r="E118" s="6">
        <v>1</v>
      </c>
      <c r="F118" s="6">
        <v>0.90771622925444195</v>
      </c>
      <c r="G118" s="5">
        <v>44956</v>
      </c>
      <c r="H118" s="6">
        <v>0.76439006848756197</v>
      </c>
      <c r="I118" s="9"/>
    </row>
    <row r="119" spans="1:9" ht="14.25">
      <c r="A119" s="2" t="s">
        <v>163</v>
      </c>
      <c r="B119" s="3" t="s">
        <v>54</v>
      </c>
      <c r="C119" s="4" t="s">
        <v>55</v>
      </c>
      <c r="D119" s="5">
        <v>44625</v>
      </c>
      <c r="E119" s="6">
        <v>4</v>
      </c>
      <c r="F119" s="6">
        <v>0.93532778717298004</v>
      </c>
      <c r="G119" s="5">
        <v>44933</v>
      </c>
      <c r="H119" s="6">
        <v>2.9378328012187802E-2</v>
      </c>
      <c r="I119" s="9"/>
    </row>
    <row r="120" spans="1:9" ht="14.25">
      <c r="A120" s="2" t="s">
        <v>164</v>
      </c>
      <c r="B120" s="3" t="s">
        <v>9</v>
      </c>
      <c r="C120" s="4" t="s">
        <v>10</v>
      </c>
      <c r="D120" s="5">
        <v>44801</v>
      </c>
      <c r="E120" s="6">
        <v>6</v>
      </c>
      <c r="F120" s="6">
        <v>0.103932010083317</v>
      </c>
      <c r="G120" s="5">
        <v>44985</v>
      </c>
      <c r="H120" s="7">
        <v>6.0761804468123501E-5</v>
      </c>
      <c r="I120" s="9"/>
    </row>
    <row r="121" spans="1:9" ht="14.25">
      <c r="A121" s="2" t="s">
        <v>165</v>
      </c>
      <c r="B121" s="3" t="s">
        <v>15</v>
      </c>
      <c r="C121" s="4" t="s">
        <v>10</v>
      </c>
      <c r="D121" s="5">
        <v>44589</v>
      </c>
      <c r="E121" s="6">
        <v>3</v>
      </c>
      <c r="F121" s="6">
        <v>0.33696098865178298</v>
      </c>
      <c r="G121" s="5">
        <v>45034</v>
      </c>
      <c r="H121" s="6">
        <v>0.68587611661549097</v>
      </c>
      <c r="I121" s="9"/>
    </row>
    <row r="122" spans="1:9" ht="14.25">
      <c r="A122" s="2" t="s">
        <v>166</v>
      </c>
      <c r="B122" s="3" t="s">
        <v>46</v>
      </c>
      <c r="C122" s="4" t="s">
        <v>47</v>
      </c>
      <c r="D122" s="5">
        <v>44733</v>
      </c>
      <c r="E122" s="6">
        <v>9</v>
      </c>
      <c r="F122" s="6">
        <v>0.32825674154548301</v>
      </c>
      <c r="G122" s="5">
        <v>44981</v>
      </c>
      <c r="H122" s="6">
        <v>0.48045519677837101</v>
      </c>
      <c r="I122" s="9"/>
    </row>
    <row r="123" spans="1:9" ht="14.25">
      <c r="A123" s="2" t="s">
        <v>167</v>
      </c>
      <c r="B123" s="3" t="s">
        <v>17</v>
      </c>
      <c r="C123" s="4" t="s">
        <v>18</v>
      </c>
      <c r="D123" s="5">
        <v>44879</v>
      </c>
      <c r="E123" s="6">
        <v>10</v>
      </c>
      <c r="F123" s="6">
        <v>0.47307005712237998</v>
      </c>
      <c r="G123" s="5">
        <v>44937</v>
      </c>
      <c r="H123" s="6">
        <v>0.10169187940690801</v>
      </c>
      <c r="I123" s="9"/>
    </row>
    <row r="124" spans="1:9" ht="14.25">
      <c r="A124" s="2" t="s">
        <v>168</v>
      </c>
      <c r="B124" s="3" t="s">
        <v>34</v>
      </c>
      <c r="C124" s="4" t="s">
        <v>35</v>
      </c>
      <c r="D124" s="5">
        <v>44371</v>
      </c>
      <c r="E124" s="6">
        <v>9</v>
      </c>
      <c r="F124" s="6">
        <v>0.71248835178386805</v>
      </c>
      <c r="G124" s="5">
        <v>44975</v>
      </c>
      <c r="H124" s="6">
        <v>0.42914106932160101</v>
      </c>
      <c r="I124" s="9"/>
    </row>
    <row r="125" spans="1:9" ht="14.25">
      <c r="A125" s="2" t="s">
        <v>169</v>
      </c>
      <c r="B125" s="3" t="s">
        <v>27</v>
      </c>
      <c r="C125" s="4" t="s">
        <v>28</v>
      </c>
      <c r="D125" s="5">
        <v>44792</v>
      </c>
      <c r="E125" s="6">
        <v>1</v>
      </c>
      <c r="F125" s="6">
        <v>0.87147093954098998</v>
      </c>
      <c r="G125" s="5">
        <v>44967</v>
      </c>
      <c r="H125" s="6">
        <v>0.35443622359295701</v>
      </c>
      <c r="I125" s="9"/>
    </row>
    <row r="126" spans="1:9" ht="14.25">
      <c r="A126" s="2" t="s">
        <v>170</v>
      </c>
      <c r="B126" s="3" t="s">
        <v>12</v>
      </c>
      <c r="C126" s="4" t="s">
        <v>13</v>
      </c>
      <c r="D126" s="5">
        <v>44272</v>
      </c>
      <c r="E126" s="6">
        <v>6</v>
      </c>
      <c r="F126" s="6">
        <v>5.4464754581670202E-2</v>
      </c>
      <c r="G126" s="5">
        <v>45013</v>
      </c>
      <c r="H126" s="6">
        <v>0.49434155447053002</v>
      </c>
      <c r="I126" s="9"/>
    </row>
    <row r="127" spans="1:9" ht="14.25">
      <c r="A127" s="2" t="s">
        <v>171</v>
      </c>
      <c r="B127" s="3" t="s">
        <v>103</v>
      </c>
      <c r="C127" s="4" t="s">
        <v>104</v>
      </c>
      <c r="D127" s="5">
        <v>44886</v>
      </c>
      <c r="E127" s="6">
        <v>8</v>
      </c>
      <c r="F127" s="6">
        <v>0.46539821567982897</v>
      </c>
      <c r="G127" s="5">
        <v>45038</v>
      </c>
      <c r="H127" s="6">
        <v>0.39766402949830199</v>
      </c>
      <c r="I127" s="9"/>
    </row>
    <row r="128" spans="1:9" ht="14.25">
      <c r="A128" s="2" t="s">
        <v>172</v>
      </c>
      <c r="B128" s="3" t="s">
        <v>58</v>
      </c>
      <c r="C128" s="4" t="s">
        <v>59</v>
      </c>
      <c r="D128" s="5">
        <v>44380</v>
      </c>
      <c r="E128" s="6">
        <v>2</v>
      </c>
      <c r="F128" s="6">
        <v>0.41769016811982401</v>
      </c>
      <c r="G128" s="5">
        <v>44990</v>
      </c>
      <c r="H128" s="6">
        <v>0.67060305745283799</v>
      </c>
      <c r="I128" s="9"/>
    </row>
    <row r="129" spans="1:9" ht="14.25">
      <c r="A129" s="2" t="s">
        <v>173</v>
      </c>
      <c r="B129" s="3" t="s">
        <v>46</v>
      </c>
      <c r="C129" s="4" t="s">
        <v>47</v>
      </c>
      <c r="D129" s="5">
        <v>44661</v>
      </c>
      <c r="E129" s="6">
        <v>5</v>
      </c>
      <c r="F129" s="6">
        <v>0.90898321519765801</v>
      </c>
      <c r="G129" s="5">
        <v>45067</v>
      </c>
      <c r="H129" s="6">
        <v>0.71076510162728801</v>
      </c>
      <c r="I129" s="9"/>
    </row>
    <row r="130" spans="1:9" ht="14.25">
      <c r="A130" s="2" t="s">
        <v>174</v>
      </c>
      <c r="B130" s="3" t="s">
        <v>103</v>
      </c>
      <c r="C130" s="4" t="s">
        <v>104</v>
      </c>
      <c r="D130" s="5">
        <v>44297</v>
      </c>
      <c r="E130" s="6">
        <v>2</v>
      </c>
      <c r="F130" s="6">
        <v>2.2277472344418001E-2</v>
      </c>
      <c r="G130" s="5">
        <v>45053</v>
      </c>
      <c r="H130" s="6">
        <v>0.31572522679826798</v>
      </c>
      <c r="I130" s="9"/>
    </row>
    <row r="131" spans="1:9" ht="14.25">
      <c r="A131" s="2" t="s">
        <v>175</v>
      </c>
      <c r="B131" s="3" t="s">
        <v>15</v>
      </c>
      <c r="C131" s="4" t="s">
        <v>10</v>
      </c>
      <c r="D131" s="5">
        <v>44223</v>
      </c>
      <c r="E131" s="6">
        <v>10</v>
      </c>
      <c r="F131" s="6">
        <v>4.84656763549157E-2</v>
      </c>
      <c r="G131" s="5">
        <v>45041</v>
      </c>
      <c r="H131" s="6">
        <v>0.76568330987062005</v>
      </c>
      <c r="I131" s="9"/>
    </row>
    <row r="132" spans="1:9" ht="14.25">
      <c r="A132" s="2" t="s">
        <v>176</v>
      </c>
      <c r="B132" s="3" t="s">
        <v>73</v>
      </c>
      <c r="C132" s="4" t="s">
        <v>74</v>
      </c>
      <c r="D132" s="5">
        <v>44616</v>
      </c>
      <c r="E132" s="6">
        <v>10</v>
      </c>
      <c r="F132" s="6">
        <v>0.29076178482231801</v>
      </c>
      <c r="G132" s="5">
        <v>44945</v>
      </c>
      <c r="H132" s="6">
        <v>0.33143123502147698</v>
      </c>
      <c r="I132" s="9"/>
    </row>
    <row r="133" spans="1:9" ht="14.25">
      <c r="A133" s="2" t="s">
        <v>177</v>
      </c>
      <c r="B133" s="3" t="s">
        <v>81</v>
      </c>
      <c r="C133" s="4" t="s">
        <v>62</v>
      </c>
      <c r="D133" s="5">
        <v>44398</v>
      </c>
      <c r="E133" s="6">
        <v>6</v>
      </c>
      <c r="F133" s="6">
        <v>0.74483031602755301</v>
      </c>
      <c r="G133" s="5">
        <v>45067</v>
      </c>
      <c r="H133" s="6">
        <v>0.45618689536000101</v>
      </c>
      <c r="I133" s="9"/>
    </row>
    <row r="134" spans="1:9" ht="14.25">
      <c r="A134" s="2" t="s">
        <v>178</v>
      </c>
      <c r="B134" s="3" t="s">
        <v>30</v>
      </c>
      <c r="C134" s="4" t="s">
        <v>31</v>
      </c>
      <c r="D134" s="5">
        <v>44244</v>
      </c>
      <c r="E134" s="6">
        <v>2</v>
      </c>
      <c r="F134" s="6">
        <v>0.55145811024395297</v>
      </c>
      <c r="G134" s="5">
        <v>44938</v>
      </c>
      <c r="H134" s="6">
        <v>0.43942741221319298</v>
      </c>
      <c r="I134" s="9"/>
    </row>
    <row r="135" spans="1:9" ht="14.25">
      <c r="A135" s="2" t="s">
        <v>179</v>
      </c>
      <c r="B135" s="3" t="s">
        <v>34</v>
      </c>
      <c r="C135" s="4" t="s">
        <v>35</v>
      </c>
      <c r="D135" s="5">
        <v>44715</v>
      </c>
      <c r="E135" s="6">
        <v>2</v>
      </c>
      <c r="F135" s="6">
        <v>0.75204781971908696</v>
      </c>
      <c r="G135" s="5">
        <v>45016</v>
      </c>
      <c r="H135" s="6">
        <v>0.46296822834011098</v>
      </c>
      <c r="I135" s="9"/>
    </row>
    <row r="136" spans="1:9" ht="14.25">
      <c r="A136" s="2" t="s">
        <v>180</v>
      </c>
      <c r="B136" s="3" t="s">
        <v>61</v>
      </c>
      <c r="C136" s="4" t="s">
        <v>62</v>
      </c>
      <c r="D136" s="5">
        <v>44225</v>
      </c>
      <c r="E136" s="6">
        <v>7</v>
      </c>
      <c r="F136" s="6">
        <v>0.47691846634392299</v>
      </c>
      <c r="G136" s="5">
        <v>44981</v>
      </c>
      <c r="H136" s="6">
        <v>0.46204966570717498</v>
      </c>
      <c r="I136" s="9"/>
    </row>
    <row r="137" spans="1:9" ht="14.25">
      <c r="A137" s="2" t="s">
        <v>181</v>
      </c>
      <c r="B137" s="3" t="s">
        <v>129</v>
      </c>
      <c r="C137" s="4" t="s">
        <v>22</v>
      </c>
      <c r="D137" s="5">
        <v>44442</v>
      </c>
      <c r="E137" s="6">
        <v>9</v>
      </c>
      <c r="F137" s="6">
        <v>0.351563700735118</v>
      </c>
      <c r="G137" s="5">
        <v>45023</v>
      </c>
      <c r="H137" s="6">
        <v>0.95442216883254405</v>
      </c>
      <c r="I137" s="9"/>
    </row>
    <row r="138" spans="1:9" ht="14.25">
      <c r="A138" s="2" t="s">
        <v>182</v>
      </c>
      <c r="B138" s="3" t="s">
        <v>34</v>
      </c>
      <c r="C138" s="4" t="s">
        <v>35</v>
      </c>
      <c r="D138" s="5">
        <v>44878</v>
      </c>
      <c r="E138" s="6">
        <v>3</v>
      </c>
      <c r="F138" s="6">
        <v>0.708252824575899</v>
      </c>
      <c r="G138" s="5">
        <v>45047</v>
      </c>
      <c r="H138" s="6">
        <v>0.25743349659995701</v>
      </c>
      <c r="I138" s="9"/>
    </row>
    <row r="139" spans="1:9" ht="14.25">
      <c r="A139" s="2" t="s">
        <v>183</v>
      </c>
      <c r="B139" s="3" t="s">
        <v>54</v>
      </c>
      <c r="C139" s="4" t="s">
        <v>55</v>
      </c>
      <c r="D139" s="5">
        <v>44535</v>
      </c>
      <c r="E139" s="6">
        <v>6</v>
      </c>
      <c r="F139" s="6">
        <v>8.1168066351901699E-2</v>
      </c>
      <c r="G139" s="5">
        <v>45004</v>
      </c>
      <c r="H139" s="6">
        <v>0.51544985308443603</v>
      </c>
      <c r="I139" s="9"/>
    </row>
    <row r="140" spans="1:9" ht="14.25">
      <c r="A140" s="2" t="s">
        <v>184</v>
      </c>
      <c r="B140" s="3" t="s">
        <v>73</v>
      </c>
      <c r="C140" s="4" t="s">
        <v>74</v>
      </c>
      <c r="D140" s="5">
        <v>44815</v>
      </c>
      <c r="E140" s="6">
        <v>3</v>
      </c>
      <c r="F140" s="6">
        <v>0.44727279397540398</v>
      </c>
      <c r="G140" s="5">
        <v>44961</v>
      </c>
      <c r="H140" s="6">
        <v>0.72124646028638995</v>
      </c>
      <c r="I140" s="9"/>
    </row>
    <row r="141" spans="1:9" ht="14.25">
      <c r="A141" s="2" t="s">
        <v>185</v>
      </c>
      <c r="B141" s="3" t="s">
        <v>30</v>
      </c>
      <c r="C141" s="4" t="s">
        <v>31</v>
      </c>
      <c r="D141" s="5">
        <v>44690</v>
      </c>
      <c r="E141" s="6">
        <v>5</v>
      </c>
      <c r="F141" s="6">
        <v>0.55996144918041602</v>
      </c>
      <c r="G141" s="5">
        <v>44982</v>
      </c>
      <c r="H141" s="6">
        <v>4.0845294204603297E-3</v>
      </c>
      <c r="I141" s="9"/>
    </row>
    <row r="142" spans="1:9" ht="14.25">
      <c r="A142" s="2" t="s">
        <v>186</v>
      </c>
      <c r="B142" s="3" t="s">
        <v>129</v>
      </c>
      <c r="C142" s="4" t="s">
        <v>22</v>
      </c>
      <c r="D142" s="5">
        <v>44521</v>
      </c>
      <c r="E142" s="6">
        <v>4</v>
      </c>
      <c r="F142" s="6">
        <v>0.56230632063577901</v>
      </c>
      <c r="G142" s="5">
        <v>45060</v>
      </c>
      <c r="H142" s="6">
        <v>0.68743114384612203</v>
      </c>
      <c r="I142" s="9"/>
    </row>
    <row r="143" spans="1:9" ht="14.25">
      <c r="A143" s="2" t="s">
        <v>187</v>
      </c>
      <c r="B143" s="3" t="s">
        <v>30</v>
      </c>
      <c r="C143" s="4" t="s">
        <v>31</v>
      </c>
      <c r="D143" s="5">
        <v>44769</v>
      </c>
      <c r="E143" s="6">
        <v>5</v>
      </c>
      <c r="F143" s="6">
        <v>0.72618042932337601</v>
      </c>
      <c r="G143" s="5">
        <v>45013</v>
      </c>
      <c r="H143" s="6">
        <v>0.31138195774945998</v>
      </c>
      <c r="I143" s="9"/>
    </row>
    <row r="144" spans="1:9" ht="14.25">
      <c r="A144" s="2" t="s">
        <v>188</v>
      </c>
      <c r="B144" s="3" t="s">
        <v>71</v>
      </c>
      <c r="C144" s="4" t="s">
        <v>50</v>
      </c>
      <c r="D144" s="5">
        <v>44206</v>
      </c>
      <c r="E144" s="6">
        <v>3</v>
      </c>
      <c r="F144" s="6">
        <v>0.113699112632604</v>
      </c>
      <c r="G144" s="5">
        <v>45012</v>
      </c>
      <c r="H144" s="6">
        <v>3.0869795040312301E-2</v>
      </c>
      <c r="I144" s="9"/>
    </row>
    <row r="145" spans="1:9" ht="14.25">
      <c r="A145" s="2" t="s">
        <v>189</v>
      </c>
      <c r="B145" s="3" t="s">
        <v>129</v>
      </c>
      <c r="C145" s="4" t="s">
        <v>22</v>
      </c>
      <c r="D145" s="5">
        <v>44822</v>
      </c>
      <c r="E145" s="6">
        <v>1</v>
      </c>
      <c r="F145" s="6">
        <v>8.6409222229514596E-2</v>
      </c>
      <c r="G145" s="5">
        <v>44945</v>
      </c>
      <c r="H145" s="6">
        <v>0.720395287309052</v>
      </c>
      <c r="I145" s="9"/>
    </row>
    <row r="146" spans="1:9" ht="14.25">
      <c r="A146" s="2" t="s">
        <v>190</v>
      </c>
      <c r="B146" s="3" t="s">
        <v>71</v>
      </c>
      <c r="C146" s="4" t="s">
        <v>50</v>
      </c>
      <c r="D146" s="5">
        <v>44484</v>
      </c>
      <c r="E146" s="6">
        <v>4</v>
      </c>
      <c r="F146" s="6">
        <v>0.573839853564304</v>
      </c>
      <c r="G146" s="5">
        <v>45050</v>
      </c>
      <c r="H146" s="6">
        <v>0.74143260510805697</v>
      </c>
      <c r="I146" s="9"/>
    </row>
    <row r="147" spans="1:9" ht="14.25">
      <c r="A147" s="2" t="s">
        <v>191</v>
      </c>
      <c r="B147" s="3" t="s">
        <v>27</v>
      </c>
      <c r="C147" s="4" t="s">
        <v>28</v>
      </c>
      <c r="D147" s="5">
        <v>44734</v>
      </c>
      <c r="E147" s="6">
        <v>10</v>
      </c>
      <c r="F147" s="6">
        <v>5.8312359538940997E-2</v>
      </c>
      <c r="G147" s="5">
        <v>45041</v>
      </c>
      <c r="H147" s="6">
        <v>0.50418526458823998</v>
      </c>
      <c r="I147" s="9"/>
    </row>
    <row r="148" spans="1:9" ht="14.25">
      <c r="A148" s="2" t="s">
        <v>192</v>
      </c>
      <c r="B148" s="3" t="s">
        <v>54</v>
      </c>
      <c r="C148" s="4" t="s">
        <v>55</v>
      </c>
      <c r="D148" s="5">
        <v>44480</v>
      </c>
      <c r="E148" s="6">
        <v>7</v>
      </c>
      <c r="F148" s="6">
        <v>0.717702757066082</v>
      </c>
      <c r="G148" s="5">
        <v>44936</v>
      </c>
      <c r="H148" s="6">
        <v>0.1182538345041</v>
      </c>
      <c r="I148" s="9"/>
    </row>
    <row r="149" spans="1:9" ht="14.25">
      <c r="A149" s="2" t="s">
        <v>193</v>
      </c>
      <c r="B149" s="3" t="s">
        <v>24</v>
      </c>
      <c r="C149" s="4" t="s">
        <v>25</v>
      </c>
      <c r="D149" s="5">
        <v>44534</v>
      </c>
      <c r="E149" s="6">
        <v>1</v>
      </c>
      <c r="F149" s="6">
        <v>0.29181649358212502</v>
      </c>
      <c r="G149" s="5">
        <v>44944</v>
      </c>
      <c r="H149" s="6">
        <v>0.59525600260086198</v>
      </c>
      <c r="I149" s="9"/>
    </row>
    <row r="150" spans="1:9" ht="14.25">
      <c r="A150" s="2" t="s">
        <v>194</v>
      </c>
      <c r="B150" s="3" t="s">
        <v>58</v>
      </c>
      <c r="C150" s="4" t="s">
        <v>59</v>
      </c>
      <c r="D150" s="5">
        <v>44616</v>
      </c>
      <c r="E150" s="6">
        <v>7</v>
      </c>
      <c r="F150" s="6">
        <v>0.41475447056245102</v>
      </c>
      <c r="G150" s="5">
        <v>44992</v>
      </c>
      <c r="H150" s="6">
        <v>0.41302964862980401</v>
      </c>
      <c r="I150" s="9"/>
    </row>
    <row r="151" spans="1:9" ht="14.25">
      <c r="A151" s="2" t="s">
        <v>195</v>
      </c>
      <c r="B151" s="3" t="s">
        <v>12</v>
      </c>
      <c r="C151" s="4" t="s">
        <v>13</v>
      </c>
      <c r="D151" s="5">
        <v>44766</v>
      </c>
      <c r="E151" s="6">
        <v>3</v>
      </c>
      <c r="F151" s="6">
        <v>0.273622029983696</v>
      </c>
      <c r="G151" s="5">
        <v>45026</v>
      </c>
      <c r="H151" s="6">
        <v>0.28004873586635498</v>
      </c>
      <c r="I151" s="9"/>
    </row>
    <row r="152" spans="1:9" ht="14.25">
      <c r="A152" s="2" t="s">
        <v>196</v>
      </c>
      <c r="B152" s="3" t="s">
        <v>103</v>
      </c>
      <c r="C152" s="4" t="s">
        <v>104</v>
      </c>
      <c r="D152" s="5">
        <v>44857</v>
      </c>
      <c r="E152" s="6">
        <v>5</v>
      </c>
      <c r="F152" s="6">
        <v>0.36944159210677702</v>
      </c>
      <c r="G152" s="5">
        <v>44944</v>
      </c>
      <c r="H152" s="6">
        <v>0.83598479662907399</v>
      </c>
      <c r="I152" s="9"/>
    </row>
    <row r="153" spans="1:9" ht="14.25">
      <c r="A153" s="2" t="s">
        <v>197</v>
      </c>
      <c r="B153" s="3" t="s">
        <v>103</v>
      </c>
      <c r="C153" s="4" t="s">
        <v>104</v>
      </c>
      <c r="D153" s="5">
        <v>44607</v>
      </c>
      <c r="E153" s="6">
        <v>1</v>
      </c>
      <c r="F153" s="6">
        <v>0.58311714000128001</v>
      </c>
      <c r="G153" s="5">
        <v>44986</v>
      </c>
      <c r="H153" s="6">
        <v>0.132094119226041</v>
      </c>
      <c r="I153" s="9"/>
    </row>
    <row r="154" spans="1:9" ht="14.25">
      <c r="A154" s="2" t="s">
        <v>198</v>
      </c>
      <c r="B154" s="3" t="s">
        <v>34</v>
      </c>
      <c r="C154" s="4" t="s">
        <v>35</v>
      </c>
      <c r="D154" s="5">
        <v>44312</v>
      </c>
      <c r="E154" s="6">
        <v>6</v>
      </c>
      <c r="F154" s="6">
        <v>0.65300297719761102</v>
      </c>
      <c r="G154" s="5">
        <v>45013</v>
      </c>
      <c r="H154" s="6">
        <v>0.67542025364515701</v>
      </c>
      <c r="I154" s="9"/>
    </row>
    <row r="155" spans="1:9" ht="14.25">
      <c r="A155" s="2" t="s">
        <v>199</v>
      </c>
      <c r="B155" s="3" t="s">
        <v>71</v>
      </c>
      <c r="C155" s="4" t="s">
        <v>50</v>
      </c>
      <c r="D155" s="5">
        <v>44684</v>
      </c>
      <c r="E155" s="6">
        <v>8</v>
      </c>
      <c r="F155" s="6">
        <v>0.29111039384551202</v>
      </c>
      <c r="G155" s="5">
        <v>45003</v>
      </c>
      <c r="H155" s="6">
        <v>0.67736656660512595</v>
      </c>
      <c r="I155" s="9"/>
    </row>
    <row r="156" spans="1:9" ht="14.25">
      <c r="A156" s="2" t="s">
        <v>200</v>
      </c>
      <c r="B156" s="3" t="s">
        <v>71</v>
      </c>
      <c r="C156" s="4" t="s">
        <v>50</v>
      </c>
      <c r="D156" s="5">
        <v>44240</v>
      </c>
      <c r="E156" s="6">
        <v>4</v>
      </c>
      <c r="F156" s="6">
        <v>0.112536236136402</v>
      </c>
      <c r="G156" s="5">
        <v>45051</v>
      </c>
      <c r="H156" s="6">
        <v>0.73892418680528005</v>
      </c>
      <c r="I156" s="9"/>
    </row>
    <row r="157" spans="1:9" ht="14.25">
      <c r="A157" s="2" t="s">
        <v>201</v>
      </c>
      <c r="B157" s="3" t="s">
        <v>34</v>
      </c>
      <c r="C157" s="4" t="s">
        <v>35</v>
      </c>
      <c r="D157" s="5">
        <v>44579</v>
      </c>
      <c r="E157" s="6">
        <v>9</v>
      </c>
      <c r="F157" s="6">
        <v>0.15192205963339001</v>
      </c>
      <c r="G157" s="5">
        <v>44999</v>
      </c>
      <c r="H157" s="6">
        <v>0.20150857478536399</v>
      </c>
      <c r="I157" s="9"/>
    </row>
    <row r="158" spans="1:9" ht="14.25">
      <c r="A158" s="2" t="s">
        <v>202</v>
      </c>
      <c r="B158" s="3" t="s">
        <v>103</v>
      </c>
      <c r="C158" s="4" t="s">
        <v>104</v>
      </c>
      <c r="D158" s="5">
        <v>44830</v>
      </c>
      <c r="E158" s="6">
        <v>2</v>
      </c>
      <c r="F158" s="6">
        <v>0.28151547287029699</v>
      </c>
      <c r="G158" s="5">
        <v>44971</v>
      </c>
      <c r="H158" s="6">
        <v>0.112845737208008</v>
      </c>
      <c r="I158" s="9"/>
    </row>
    <row r="159" spans="1:9" ht="14.25">
      <c r="A159" s="2" t="s">
        <v>203</v>
      </c>
      <c r="B159" s="3" t="s">
        <v>9</v>
      </c>
      <c r="C159" s="4" t="s">
        <v>10</v>
      </c>
      <c r="D159" s="5">
        <v>44580</v>
      </c>
      <c r="E159" s="6">
        <v>2</v>
      </c>
      <c r="F159" s="6">
        <v>0.47294292208057698</v>
      </c>
      <c r="G159" s="5">
        <v>45023</v>
      </c>
      <c r="H159" s="6">
        <v>0.79212265204075905</v>
      </c>
      <c r="I159" s="9"/>
    </row>
    <row r="160" spans="1:9" ht="14.25">
      <c r="A160" s="2" t="s">
        <v>204</v>
      </c>
      <c r="B160" s="3" t="s">
        <v>9</v>
      </c>
      <c r="C160" s="4" t="s">
        <v>10</v>
      </c>
      <c r="D160" s="5">
        <v>44605</v>
      </c>
      <c r="E160" s="6">
        <v>2</v>
      </c>
      <c r="F160" s="6">
        <v>0.95827680251471803</v>
      </c>
      <c r="G160" s="5">
        <v>45009</v>
      </c>
      <c r="H160" s="6">
        <v>0.89660265479322399</v>
      </c>
      <c r="I160" s="9"/>
    </row>
    <row r="161" spans="1:9" ht="14.25">
      <c r="A161" s="2" t="s">
        <v>205</v>
      </c>
      <c r="B161" s="3" t="s">
        <v>39</v>
      </c>
      <c r="C161" s="4" t="s">
        <v>40</v>
      </c>
      <c r="D161" s="5">
        <v>44604</v>
      </c>
      <c r="E161" s="6">
        <v>2</v>
      </c>
      <c r="F161" s="6">
        <v>0.27963347908695002</v>
      </c>
      <c r="G161" s="5">
        <v>44949</v>
      </c>
      <c r="H161" s="6">
        <v>0.24854191017697499</v>
      </c>
      <c r="I161" s="9"/>
    </row>
    <row r="162" spans="1:9" ht="14.25">
      <c r="A162" s="2" t="s">
        <v>206</v>
      </c>
      <c r="B162" s="3" t="s">
        <v>61</v>
      </c>
      <c r="C162" s="4" t="s">
        <v>62</v>
      </c>
      <c r="D162" s="5">
        <v>44257</v>
      </c>
      <c r="E162" s="6">
        <v>8</v>
      </c>
      <c r="F162" s="6">
        <v>0.434644149591145</v>
      </c>
      <c r="G162" s="5">
        <v>44955</v>
      </c>
      <c r="H162" s="6">
        <v>0.625342854199327</v>
      </c>
      <c r="I162" s="9"/>
    </row>
    <row r="163" spans="1:9" ht="14.25">
      <c r="A163" s="2" t="s">
        <v>207</v>
      </c>
      <c r="B163" s="3" t="s">
        <v>49</v>
      </c>
      <c r="C163" s="4" t="s">
        <v>50</v>
      </c>
      <c r="D163" s="5">
        <v>44745</v>
      </c>
      <c r="E163" s="6">
        <v>5</v>
      </c>
      <c r="F163" s="6">
        <v>0.74838580953710099</v>
      </c>
      <c r="G163" s="5">
        <v>44980</v>
      </c>
      <c r="H163" s="6">
        <v>0.56239389347784197</v>
      </c>
      <c r="I163" s="9"/>
    </row>
    <row r="164" spans="1:9" ht="14.25">
      <c r="A164" s="2" t="s">
        <v>208</v>
      </c>
      <c r="B164" s="3" t="s">
        <v>30</v>
      </c>
      <c r="C164" s="4" t="s">
        <v>31</v>
      </c>
      <c r="D164" s="5">
        <v>44916</v>
      </c>
      <c r="E164" s="6">
        <v>6</v>
      </c>
      <c r="F164" s="6">
        <v>0.48045901029779903</v>
      </c>
      <c r="G164" s="5">
        <v>45064</v>
      </c>
      <c r="H164" s="6">
        <v>0.433788778732414</v>
      </c>
      <c r="I164" s="9"/>
    </row>
    <row r="165" spans="1:9" ht="14.25">
      <c r="A165" s="2" t="s">
        <v>209</v>
      </c>
      <c r="B165" s="3" t="s">
        <v>58</v>
      </c>
      <c r="C165" s="4" t="s">
        <v>59</v>
      </c>
      <c r="D165" s="5">
        <v>44354</v>
      </c>
      <c r="E165" s="6">
        <v>7</v>
      </c>
      <c r="F165" s="6">
        <v>0.98744929724646802</v>
      </c>
      <c r="G165" s="5">
        <v>45049</v>
      </c>
      <c r="H165" s="6">
        <v>0.21163360381443899</v>
      </c>
      <c r="I165" s="9"/>
    </row>
    <row r="166" spans="1:9" ht="14.25">
      <c r="A166" s="2" t="s">
        <v>210</v>
      </c>
      <c r="B166" s="3" t="s">
        <v>9</v>
      </c>
      <c r="C166" s="4" t="s">
        <v>10</v>
      </c>
      <c r="D166" s="5">
        <v>44711</v>
      </c>
      <c r="E166" s="6">
        <v>3</v>
      </c>
      <c r="F166" s="6">
        <v>5.2479096578398297E-2</v>
      </c>
      <c r="G166" s="5">
        <v>45069</v>
      </c>
      <c r="H166" s="6">
        <v>5.8390055671951401E-2</v>
      </c>
      <c r="I166" s="9"/>
    </row>
    <row r="167" spans="1:9" ht="14.25">
      <c r="A167" s="2" t="s">
        <v>211</v>
      </c>
      <c r="B167" s="3" t="s">
        <v>49</v>
      </c>
      <c r="C167" s="4" t="s">
        <v>50</v>
      </c>
      <c r="D167" s="5">
        <v>44801</v>
      </c>
      <c r="E167" s="6">
        <v>4</v>
      </c>
      <c r="F167" s="6">
        <v>6.3638338964366797E-2</v>
      </c>
      <c r="G167" s="5">
        <v>45014</v>
      </c>
      <c r="H167" s="6">
        <v>0.82222519151117301</v>
      </c>
      <c r="I167" s="9"/>
    </row>
    <row r="168" spans="1:9" ht="14.25">
      <c r="A168" s="2" t="s">
        <v>212</v>
      </c>
      <c r="B168" s="3" t="s">
        <v>21</v>
      </c>
      <c r="C168" s="4" t="s">
        <v>22</v>
      </c>
      <c r="D168" s="5">
        <v>44515</v>
      </c>
      <c r="E168" s="6">
        <v>3</v>
      </c>
      <c r="F168" s="6">
        <v>7.0327700844507193E-2</v>
      </c>
      <c r="G168" s="5">
        <v>44974</v>
      </c>
      <c r="H168" s="6">
        <v>9.4112460113233404E-2</v>
      </c>
      <c r="I168" s="9"/>
    </row>
    <row r="169" spans="1:9" ht="14.25">
      <c r="A169" s="2" t="s">
        <v>213</v>
      </c>
      <c r="B169" s="3" t="s">
        <v>81</v>
      </c>
      <c r="C169" s="4" t="s">
        <v>62</v>
      </c>
      <c r="D169" s="5">
        <v>44897</v>
      </c>
      <c r="E169" s="6">
        <v>3</v>
      </c>
      <c r="F169" s="6">
        <v>0.95057620706778501</v>
      </c>
      <c r="G169" s="5">
        <v>45040</v>
      </c>
      <c r="H169" s="6">
        <v>0.96163422719710601</v>
      </c>
      <c r="I169" s="9"/>
    </row>
    <row r="170" spans="1:9" ht="14.25">
      <c r="A170" s="2" t="s">
        <v>214</v>
      </c>
      <c r="B170" s="3" t="s">
        <v>103</v>
      </c>
      <c r="C170" s="4" t="s">
        <v>104</v>
      </c>
      <c r="D170" s="5">
        <v>44903</v>
      </c>
      <c r="E170" s="6">
        <v>1</v>
      </c>
      <c r="F170" s="6">
        <v>0.48177369539871401</v>
      </c>
      <c r="G170" s="5">
        <v>45046</v>
      </c>
      <c r="H170" s="6">
        <v>0.92834498334210402</v>
      </c>
      <c r="I170" s="9"/>
    </row>
    <row r="171" spans="1:9" ht="14.25">
      <c r="A171" s="2" t="s">
        <v>215</v>
      </c>
      <c r="B171" s="3" t="s">
        <v>54</v>
      </c>
      <c r="C171" s="4" t="s">
        <v>55</v>
      </c>
      <c r="D171" s="5">
        <v>44204</v>
      </c>
      <c r="E171" s="6">
        <v>2</v>
      </c>
      <c r="F171" s="6">
        <v>0.43098053100217298</v>
      </c>
      <c r="G171" s="5">
        <v>44948</v>
      </c>
      <c r="H171" s="6">
        <v>0.43731221847381901</v>
      </c>
      <c r="I171" s="9"/>
    </row>
    <row r="172" spans="1:9" ht="14.25">
      <c r="A172" s="2" t="s">
        <v>216</v>
      </c>
      <c r="B172" s="3" t="s">
        <v>24</v>
      </c>
      <c r="C172" s="4" t="s">
        <v>25</v>
      </c>
      <c r="D172" s="5">
        <v>44439</v>
      </c>
      <c r="E172" s="6">
        <v>8</v>
      </c>
      <c r="F172" s="6">
        <v>0.59735476523394404</v>
      </c>
      <c r="G172" s="5">
        <v>44982</v>
      </c>
      <c r="H172" s="6">
        <v>0.16822758298431501</v>
      </c>
      <c r="I172" s="9"/>
    </row>
    <row r="173" spans="1:9" ht="14.25">
      <c r="A173" s="2" t="s">
        <v>217</v>
      </c>
      <c r="B173" s="3" t="s">
        <v>24</v>
      </c>
      <c r="C173" s="4" t="s">
        <v>25</v>
      </c>
      <c r="D173" s="5">
        <v>44449</v>
      </c>
      <c r="E173" s="6">
        <v>6</v>
      </c>
      <c r="F173" s="6">
        <v>0.26280269378864801</v>
      </c>
      <c r="G173" s="5">
        <v>45014</v>
      </c>
      <c r="H173" s="6">
        <v>0.14823080489066301</v>
      </c>
      <c r="I173" s="9"/>
    </row>
    <row r="174" spans="1:9" ht="14.25">
      <c r="A174" s="2" t="s">
        <v>218</v>
      </c>
      <c r="B174" s="3" t="s">
        <v>49</v>
      </c>
      <c r="C174" s="4" t="s">
        <v>50</v>
      </c>
      <c r="D174" s="5">
        <v>44779</v>
      </c>
      <c r="E174" s="6">
        <v>4</v>
      </c>
      <c r="F174" s="6">
        <v>0.90284110874477896</v>
      </c>
      <c r="G174" s="5">
        <v>45008</v>
      </c>
      <c r="H174" s="6">
        <v>0.63507569454438495</v>
      </c>
      <c r="I174" s="9"/>
    </row>
    <row r="175" spans="1:9" ht="14.25">
      <c r="A175" s="2" t="s">
        <v>219</v>
      </c>
      <c r="B175" s="3" t="s">
        <v>17</v>
      </c>
      <c r="C175" s="4" t="s">
        <v>18</v>
      </c>
      <c r="D175" s="5">
        <v>44241</v>
      </c>
      <c r="E175" s="6">
        <v>6</v>
      </c>
      <c r="F175" s="6">
        <v>0.98199261995326603</v>
      </c>
      <c r="G175" s="5">
        <v>44994</v>
      </c>
      <c r="H175" s="6">
        <v>0.54481123922804697</v>
      </c>
      <c r="I175" s="9"/>
    </row>
    <row r="176" spans="1:9" ht="14.25">
      <c r="A176" s="2" t="s">
        <v>220</v>
      </c>
      <c r="B176" s="3" t="s">
        <v>43</v>
      </c>
      <c r="C176" s="4" t="s">
        <v>44</v>
      </c>
      <c r="D176" s="5">
        <v>44229</v>
      </c>
      <c r="E176" s="6">
        <v>3</v>
      </c>
      <c r="F176" s="6">
        <v>0.84716039463076198</v>
      </c>
      <c r="G176" s="5">
        <v>45067</v>
      </c>
      <c r="H176" s="6">
        <v>1.3086187744415801E-2</v>
      </c>
      <c r="I176" s="9"/>
    </row>
    <row r="177" spans="1:9" ht="14.25">
      <c r="A177" s="2" t="s">
        <v>221</v>
      </c>
      <c r="B177" s="3" t="s">
        <v>129</v>
      </c>
      <c r="C177" s="4" t="s">
        <v>22</v>
      </c>
      <c r="D177" s="5">
        <v>44836</v>
      </c>
      <c r="E177" s="6">
        <v>5</v>
      </c>
      <c r="F177" s="6">
        <v>0.30637569785375002</v>
      </c>
      <c r="G177" s="5">
        <v>45008</v>
      </c>
      <c r="H177" s="6">
        <v>1.25503463839893E-3</v>
      </c>
      <c r="I177" s="9"/>
    </row>
    <row r="178" spans="1:9" ht="14.25">
      <c r="A178" s="2" t="s">
        <v>222</v>
      </c>
      <c r="B178" s="3" t="s">
        <v>49</v>
      </c>
      <c r="C178" s="4" t="s">
        <v>50</v>
      </c>
      <c r="D178" s="5">
        <v>44211</v>
      </c>
      <c r="E178" s="6">
        <v>6</v>
      </c>
      <c r="F178" s="6">
        <v>0.76879912576772802</v>
      </c>
      <c r="G178" s="5">
        <v>45006</v>
      </c>
      <c r="H178" s="6">
        <v>0.86548533755676105</v>
      </c>
      <c r="I178" s="9"/>
    </row>
    <row r="179" spans="1:9" ht="14.25">
      <c r="A179" s="2" t="s">
        <v>223</v>
      </c>
      <c r="B179" s="3" t="s">
        <v>34</v>
      </c>
      <c r="C179" s="4" t="s">
        <v>35</v>
      </c>
      <c r="D179" s="5">
        <v>44514</v>
      </c>
      <c r="E179" s="6">
        <v>7</v>
      </c>
      <c r="F179" s="6">
        <v>0.38563992038543599</v>
      </c>
      <c r="G179" s="5">
        <v>45004</v>
      </c>
      <c r="H179" s="6">
        <v>0.508902669316179</v>
      </c>
      <c r="I179" s="9"/>
    </row>
    <row r="180" spans="1:9" ht="14.25">
      <c r="A180" s="2" t="s">
        <v>224</v>
      </c>
      <c r="B180" s="3" t="s">
        <v>81</v>
      </c>
      <c r="C180" s="4" t="s">
        <v>62</v>
      </c>
      <c r="D180" s="5">
        <v>44309</v>
      </c>
      <c r="E180" s="6">
        <v>8</v>
      </c>
      <c r="F180" s="6">
        <v>0.85335977277591302</v>
      </c>
      <c r="G180" s="5">
        <v>45021</v>
      </c>
      <c r="H180" s="6">
        <v>0.99207281995433205</v>
      </c>
      <c r="I180" s="9"/>
    </row>
    <row r="181" spans="1:9" ht="14.25">
      <c r="A181" s="2" t="s">
        <v>225</v>
      </c>
      <c r="B181" s="3" t="s">
        <v>12</v>
      </c>
      <c r="C181" s="4" t="s">
        <v>13</v>
      </c>
      <c r="D181" s="5">
        <v>44289</v>
      </c>
      <c r="E181" s="6">
        <v>5</v>
      </c>
      <c r="F181" s="6">
        <v>0.28334897654743202</v>
      </c>
      <c r="G181" s="5">
        <v>44965</v>
      </c>
      <c r="H181" s="6">
        <v>0.63454053513977304</v>
      </c>
      <c r="I181" s="9"/>
    </row>
    <row r="182" spans="1:9" ht="14.25">
      <c r="A182" s="2" t="s">
        <v>226</v>
      </c>
      <c r="B182" s="3" t="s">
        <v>81</v>
      </c>
      <c r="C182" s="4" t="s">
        <v>62</v>
      </c>
      <c r="D182" s="5">
        <v>44572</v>
      </c>
      <c r="E182" s="6">
        <v>3</v>
      </c>
      <c r="F182" s="6">
        <v>0.117748642112043</v>
      </c>
      <c r="G182" s="5">
        <v>45073</v>
      </c>
      <c r="H182" s="6">
        <v>0.67092430905617095</v>
      </c>
      <c r="I182" s="9"/>
    </row>
    <row r="183" spans="1:9" ht="14.25">
      <c r="A183" s="2" t="s">
        <v>227</v>
      </c>
      <c r="B183" s="3" t="s">
        <v>39</v>
      </c>
      <c r="C183" s="4" t="s">
        <v>40</v>
      </c>
      <c r="D183" s="5">
        <v>44790</v>
      </c>
      <c r="E183" s="6">
        <v>5</v>
      </c>
      <c r="F183" s="6">
        <v>0.76783916519082696</v>
      </c>
      <c r="G183" s="5">
        <v>45021</v>
      </c>
      <c r="H183" s="6">
        <v>0.24099871039557799</v>
      </c>
      <c r="I183" s="9"/>
    </row>
    <row r="184" spans="1:9" ht="14.25">
      <c r="A184" s="2" t="s">
        <v>228</v>
      </c>
      <c r="B184" s="3" t="s">
        <v>39</v>
      </c>
      <c r="C184" s="4" t="s">
        <v>40</v>
      </c>
      <c r="D184" s="5">
        <v>44766</v>
      </c>
      <c r="E184" s="6">
        <v>2</v>
      </c>
      <c r="F184" s="6">
        <v>0.14806713315151801</v>
      </c>
      <c r="G184" s="5">
        <v>45051</v>
      </c>
      <c r="H184" s="6">
        <v>0.312315972509696</v>
      </c>
      <c r="I184" s="9"/>
    </row>
    <row r="185" spans="1:9" ht="14.25">
      <c r="A185" s="2" t="s">
        <v>229</v>
      </c>
      <c r="B185" s="3" t="s">
        <v>39</v>
      </c>
      <c r="C185" s="4" t="s">
        <v>40</v>
      </c>
      <c r="D185" s="5">
        <v>44577</v>
      </c>
      <c r="E185" s="6">
        <v>7</v>
      </c>
      <c r="F185" s="6">
        <v>7.8885651390256904E-3</v>
      </c>
      <c r="G185" s="5">
        <v>45037</v>
      </c>
      <c r="H185" s="6">
        <v>0.42001946730883299</v>
      </c>
      <c r="I185" s="9"/>
    </row>
    <row r="186" spans="1:9" ht="14.25">
      <c r="A186" s="2" t="s">
        <v>230</v>
      </c>
      <c r="B186" s="3" t="s">
        <v>73</v>
      </c>
      <c r="C186" s="4" t="s">
        <v>74</v>
      </c>
      <c r="D186" s="5">
        <v>44416</v>
      </c>
      <c r="E186" s="6">
        <v>7</v>
      </c>
      <c r="F186" s="6">
        <v>6.5026558074850402E-2</v>
      </c>
      <c r="G186" s="5">
        <v>45005</v>
      </c>
      <c r="H186" s="6">
        <v>0.566596656084567</v>
      </c>
      <c r="I186" s="9"/>
    </row>
    <row r="187" spans="1:9" ht="14.25">
      <c r="A187" s="2" t="s">
        <v>231</v>
      </c>
      <c r="B187" s="3" t="s">
        <v>15</v>
      </c>
      <c r="C187" s="4" t="s">
        <v>10</v>
      </c>
      <c r="D187" s="5">
        <v>44883</v>
      </c>
      <c r="E187" s="6">
        <v>1</v>
      </c>
      <c r="F187" s="6">
        <v>0.30777843623572698</v>
      </c>
      <c r="G187" s="5">
        <v>44963</v>
      </c>
      <c r="H187" s="6">
        <v>0.172453184843159</v>
      </c>
      <c r="I187" s="9"/>
    </row>
    <row r="188" spans="1:9" ht="14.25">
      <c r="A188" s="2" t="s">
        <v>232</v>
      </c>
      <c r="B188" s="3" t="s">
        <v>27</v>
      </c>
      <c r="C188" s="4" t="s">
        <v>28</v>
      </c>
      <c r="D188" s="5">
        <v>44214</v>
      </c>
      <c r="E188" s="6">
        <v>5</v>
      </c>
      <c r="F188" s="6">
        <v>0.1874453216227</v>
      </c>
      <c r="G188" s="5">
        <v>44961</v>
      </c>
      <c r="H188" s="6">
        <v>0.22911064366850301</v>
      </c>
      <c r="I188" s="9"/>
    </row>
    <row r="189" spans="1:9" ht="14.25">
      <c r="A189" s="2" t="s">
        <v>233</v>
      </c>
      <c r="B189" s="3" t="s">
        <v>43</v>
      </c>
      <c r="C189" s="4" t="s">
        <v>44</v>
      </c>
      <c r="D189" s="5">
        <v>44403</v>
      </c>
      <c r="E189" s="6">
        <v>6</v>
      </c>
      <c r="F189" s="6">
        <v>0.83300140406454304</v>
      </c>
      <c r="G189" s="5">
        <v>45026</v>
      </c>
      <c r="H189" s="6">
        <v>0.70242147925557197</v>
      </c>
      <c r="I189" s="9"/>
    </row>
    <row r="190" spans="1:9" ht="14.25">
      <c r="A190" s="2" t="s">
        <v>234</v>
      </c>
      <c r="B190" s="3" t="s">
        <v>34</v>
      </c>
      <c r="C190" s="4" t="s">
        <v>35</v>
      </c>
      <c r="D190" s="5">
        <v>44694</v>
      </c>
      <c r="E190" s="6">
        <v>3</v>
      </c>
      <c r="F190" s="6">
        <v>0.27727516856333601</v>
      </c>
      <c r="G190" s="5">
        <v>45036</v>
      </c>
      <c r="H190" s="6">
        <v>0.34199564672456301</v>
      </c>
      <c r="I190" s="9"/>
    </row>
    <row r="191" spans="1:9" ht="14.25">
      <c r="A191" s="2" t="s">
        <v>235</v>
      </c>
      <c r="B191" s="3" t="s">
        <v>9</v>
      </c>
      <c r="C191" s="4" t="s">
        <v>10</v>
      </c>
      <c r="D191" s="5">
        <v>44199</v>
      </c>
      <c r="E191" s="6">
        <v>2</v>
      </c>
      <c r="F191" s="6">
        <v>0.22356266053190499</v>
      </c>
      <c r="G191" s="5">
        <v>44951</v>
      </c>
      <c r="H191" s="6">
        <v>0.43217504342818902</v>
      </c>
      <c r="I191" s="9"/>
    </row>
    <row r="192" spans="1:9" ht="14.25">
      <c r="A192" s="2" t="s">
        <v>236</v>
      </c>
      <c r="B192" s="3" t="s">
        <v>46</v>
      </c>
      <c r="C192" s="4" t="s">
        <v>47</v>
      </c>
      <c r="D192" s="5">
        <v>44606</v>
      </c>
      <c r="E192" s="6">
        <v>6</v>
      </c>
      <c r="F192" s="6">
        <v>0.64447099494037297</v>
      </c>
      <c r="G192" s="5">
        <v>44975</v>
      </c>
      <c r="H192" s="6">
        <v>0.96567027076396705</v>
      </c>
      <c r="I192" s="9"/>
    </row>
    <row r="193" spans="1:9" ht="14.25">
      <c r="A193" s="2" t="s">
        <v>237</v>
      </c>
      <c r="B193" s="3" t="s">
        <v>49</v>
      </c>
      <c r="C193" s="4" t="s">
        <v>50</v>
      </c>
      <c r="D193" s="5">
        <v>44760</v>
      </c>
      <c r="E193" s="6">
        <v>6</v>
      </c>
      <c r="F193" s="6">
        <v>0.91937449423976403</v>
      </c>
      <c r="G193" s="5">
        <v>44941</v>
      </c>
      <c r="H193" s="6">
        <v>0.80855685548065803</v>
      </c>
      <c r="I193" s="9"/>
    </row>
    <row r="194" spans="1:9" ht="14.25">
      <c r="A194" s="2" t="s">
        <v>238</v>
      </c>
      <c r="B194" s="3" t="s">
        <v>71</v>
      </c>
      <c r="C194" s="4" t="s">
        <v>50</v>
      </c>
      <c r="D194" s="5">
        <v>44391</v>
      </c>
      <c r="E194" s="6">
        <v>1</v>
      </c>
      <c r="F194" s="6">
        <v>0.26377783191771698</v>
      </c>
      <c r="G194" s="5">
        <v>44943</v>
      </c>
      <c r="H194" s="6">
        <v>0.53464391868976202</v>
      </c>
      <c r="I194" s="9"/>
    </row>
    <row r="195" spans="1:9" ht="14.25">
      <c r="A195" s="2" t="s">
        <v>239</v>
      </c>
      <c r="B195" s="3" t="s">
        <v>27</v>
      </c>
      <c r="C195" s="4" t="s">
        <v>28</v>
      </c>
      <c r="D195" s="5">
        <v>44457</v>
      </c>
      <c r="E195" s="6">
        <v>3</v>
      </c>
      <c r="F195" s="6">
        <v>0.48376018648020602</v>
      </c>
      <c r="G195" s="5">
        <v>44983</v>
      </c>
      <c r="H195" s="6">
        <v>0.28976743361438201</v>
      </c>
      <c r="I195" s="9"/>
    </row>
    <row r="196" spans="1:9" ht="14.25">
      <c r="A196" s="2" t="s">
        <v>240</v>
      </c>
      <c r="B196" s="3" t="s">
        <v>58</v>
      </c>
      <c r="C196" s="4" t="s">
        <v>59</v>
      </c>
      <c r="D196" s="5">
        <v>44409</v>
      </c>
      <c r="E196" s="6">
        <v>2</v>
      </c>
      <c r="F196" s="6">
        <v>0.56649641364178105</v>
      </c>
      <c r="G196" s="5">
        <v>44948</v>
      </c>
      <c r="H196" s="6">
        <v>0.76019400248091895</v>
      </c>
      <c r="I196" s="9"/>
    </row>
    <row r="197" spans="1:9" ht="14.25">
      <c r="A197" s="2" t="s">
        <v>241</v>
      </c>
      <c r="B197" s="3" t="s">
        <v>103</v>
      </c>
      <c r="C197" s="4" t="s">
        <v>104</v>
      </c>
      <c r="D197" s="5">
        <v>44229</v>
      </c>
      <c r="E197" s="6">
        <v>10</v>
      </c>
      <c r="F197" s="6">
        <v>0.81758392927810297</v>
      </c>
      <c r="G197" s="5">
        <v>44937</v>
      </c>
      <c r="H197" s="6">
        <v>0.16419798109251399</v>
      </c>
      <c r="I197" s="9"/>
    </row>
    <row r="198" spans="1:9" ht="14.25">
      <c r="A198" s="2" t="s">
        <v>242</v>
      </c>
      <c r="B198" s="3" t="s">
        <v>46</v>
      </c>
      <c r="C198" s="4" t="s">
        <v>47</v>
      </c>
      <c r="D198" s="5">
        <v>44412</v>
      </c>
      <c r="E198" s="6">
        <v>5</v>
      </c>
      <c r="F198" s="6">
        <v>0.24147425161639699</v>
      </c>
      <c r="G198" s="5">
        <v>45005</v>
      </c>
      <c r="H198" s="6">
        <v>0.23302367858983999</v>
      </c>
      <c r="I198" s="9"/>
    </row>
    <row r="199" spans="1:9" ht="14.25">
      <c r="A199" s="2" t="s">
        <v>243</v>
      </c>
      <c r="B199" s="3" t="s">
        <v>58</v>
      </c>
      <c r="C199" s="4" t="s">
        <v>59</v>
      </c>
      <c r="D199" s="5">
        <v>44828</v>
      </c>
      <c r="E199" s="6">
        <v>6</v>
      </c>
      <c r="F199" s="6">
        <v>0.51291771398490105</v>
      </c>
      <c r="G199" s="5">
        <v>44987</v>
      </c>
      <c r="H199" s="6">
        <v>0.755021488484095</v>
      </c>
      <c r="I199" s="9"/>
    </row>
    <row r="200" spans="1:9" ht="14.25">
      <c r="A200" s="2" t="s">
        <v>244</v>
      </c>
      <c r="B200" s="3" t="s">
        <v>73</v>
      </c>
      <c r="C200" s="4" t="s">
        <v>74</v>
      </c>
      <c r="D200" s="5">
        <v>44742</v>
      </c>
      <c r="E200" s="6">
        <v>9</v>
      </c>
      <c r="F200" s="6">
        <v>0.30094368268289601</v>
      </c>
      <c r="G200" s="5">
        <v>45037</v>
      </c>
      <c r="H200" s="6">
        <v>0.55983002083455202</v>
      </c>
      <c r="I200" s="9"/>
    </row>
    <row r="201" spans="1:9" ht="14.25">
      <c r="A201" s="2" t="s">
        <v>245</v>
      </c>
      <c r="B201" s="3" t="s">
        <v>58</v>
      </c>
      <c r="C201" s="4" t="s">
        <v>59</v>
      </c>
      <c r="D201" s="5">
        <v>44502</v>
      </c>
      <c r="E201" s="6">
        <v>8</v>
      </c>
      <c r="F201" s="6">
        <v>0.91352809441905303</v>
      </c>
      <c r="G201" s="5">
        <v>44978</v>
      </c>
      <c r="H201" s="6">
        <v>0.137985792121295</v>
      </c>
      <c r="I201" s="9"/>
    </row>
    <row r="202" spans="1:9" s="8" customFormat="1" ht="12.75">
      <c r="A202" s="10"/>
      <c r="B202" s="11"/>
      <c r="C202" s="9"/>
      <c r="D202" s="12"/>
      <c r="E202" s="9"/>
      <c r="F202" s="9"/>
      <c r="G202" s="12"/>
      <c r="H202" s="9"/>
      <c r="I202" s="9"/>
    </row>
    <row r="203" spans="1:9" s="8" customFormat="1" ht="14.25">
      <c r="A203" s="10"/>
      <c r="B203" s="11"/>
      <c r="C203" s="9"/>
      <c r="D203" s="13" t="s">
        <v>246</v>
      </c>
      <c r="E203" s="9"/>
      <c r="F203" s="9"/>
      <c r="G203" s="14"/>
      <c r="H203" s="9"/>
      <c r="I203" s="9"/>
    </row>
    <row r="204" spans="1:9" s="8" customFormat="1" ht="12.75">
      <c r="A204" s="10"/>
      <c r="B204" s="11"/>
      <c r="C204" s="9"/>
      <c r="D204" s="15"/>
      <c r="E204" s="9"/>
      <c r="F204" s="9"/>
      <c r="G204" s="16"/>
      <c r="H204" s="9"/>
      <c r="I204" s="9"/>
    </row>
    <row r="205" spans="1:9" s="8" customFormat="1" ht="15.75" customHeight="1">
      <c r="D205" s="17"/>
      <c r="G205" s="17"/>
    </row>
    <row r="206" spans="1:9" s="8" customFormat="1" ht="15.75" customHeight="1">
      <c r="D206" s="17"/>
      <c r="G206" s="17"/>
    </row>
    <row r="207" spans="1:9" s="8" customFormat="1" ht="15.75" customHeight="1">
      <c r="D207" s="17"/>
      <c r="G207" s="17"/>
    </row>
    <row r="208" spans="1:9" s="8" customFormat="1" ht="15.75" customHeight="1">
      <c r="D208" s="17"/>
      <c r="G208" s="17"/>
    </row>
    <row r="209" spans="4:7" s="8" customFormat="1" ht="15.75" customHeight="1">
      <c r="D209" s="17"/>
      <c r="G209" s="17"/>
    </row>
    <row r="210" spans="4:7" s="8" customFormat="1" ht="15.75" customHeight="1">
      <c r="D210" s="17"/>
      <c r="G210" s="17"/>
    </row>
    <row r="211" spans="4:7" s="8" customFormat="1" ht="15.75" customHeight="1">
      <c r="D211" s="17"/>
      <c r="G211" s="17"/>
    </row>
    <row r="212" spans="4:7" s="8" customFormat="1" ht="15.75" customHeight="1">
      <c r="D212" s="17"/>
      <c r="G212" s="17"/>
    </row>
    <row r="213" spans="4:7" s="8" customFormat="1" ht="15.75" customHeight="1">
      <c r="D213" s="17"/>
      <c r="G213" s="17"/>
    </row>
    <row r="214" spans="4:7" s="8" customFormat="1" ht="15.75" customHeight="1">
      <c r="D214" s="17"/>
      <c r="G214" s="17"/>
    </row>
    <row r="215" spans="4:7" s="8" customFormat="1" ht="15.75" customHeight="1">
      <c r="D215" s="17"/>
      <c r="G215" s="17"/>
    </row>
    <row r="216" spans="4:7" s="8" customFormat="1" ht="15.75" customHeight="1">
      <c r="D216" s="17"/>
      <c r="G216" s="17"/>
    </row>
    <row r="217" spans="4:7" s="8" customFormat="1" ht="15.75" customHeight="1">
      <c r="D217" s="17"/>
      <c r="G217" s="17"/>
    </row>
    <row r="218" spans="4:7" s="8" customFormat="1" ht="15.75" customHeight="1">
      <c r="D218" s="17"/>
      <c r="G218" s="17"/>
    </row>
    <row r="219" spans="4:7" s="8" customFormat="1" ht="15.75" customHeight="1">
      <c r="D219" s="17"/>
      <c r="G219" s="17"/>
    </row>
    <row r="220" spans="4:7" s="8" customFormat="1" ht="15.75" customHeight="1">
      <c r="D220" s="17"/>
      <c r="G220" s="17"/>
    </row>
    <row r="221" spans="4:7" s="8" customFormat="1" ht="15.75" customHeight="1">
      <c r="D221" s="17"/>
      <c r="G221" s="17"/>
    </row>
    <row r="222" spans="4:7" s="8" customFormat="1" ht="15.75" customHeight="1">
      <c r="D222" s="17"/>
      <c r="G222" s="17"/>
    </row>
    <row r="223" spans="4:7" s="8" customFormat="1" ht="15.75" customHeight="1">
      <c r="D223" s="17"/>
      <c r="G223" s="17"/>
    </row>
    <row r="224" spans="4:7" s="8" customFormat="1" ht="15.75" customHeight="1">
      <c r="D224" s="17"/>
      <c r="G224" s="17"/>
    </row>
    <row r="225" spans="4:7" s="8" customFormat="1" ht="15.75" customHeight="1">
      <c r="D225" s="17"/>
      <c r="G225" s="17"/>
    </row>
    <row r="226" spans="4:7" s="8" customFormat="1" ht="15.75" customHeight="1">
      <c r="D226" s="17"/>
      <c r="G226" s="17"/>
    </row>
    <row r="227" spans="4:7" s="8" customFormat="1" ht="15.75" customHeight="1">
      <c r="D227" s="17"/>
      <c r="G227" s="17"/>
    </row>
    <row r="228" spans="4:7" s="8" customFormat="1" ht="15.75" customHeight="1">
      <c r="D228" s="17"/>
      <c r="G228" s="17"/>
    </row>
    <row r="229" spans="4:7" s="8" customFormat="1" ht="15.75" customHeight="1">
      <c r="D229" s="17"/>
      <c r="G229" s="17"/>
    </row>
    <row r="230" spans="4:7" s="8" customFormat="1" ht="15.75" customHeight="1">
      <c r="D230" s="17"/>
      <c r="G230" s="17"/>
    </row>
    <row r="231" spans="4:7" s="8" customFormat="1" ht="15.75" customHeight="1">
      <c r="D231" s="17"/>
      <c r="G231" s="17"/>
    </row>
    <row r="232" spans="4:7" s="8" customFormat="1" ht="15.75" customHeight="1">
      <c r="D232" s="17"/>
      <c r="G232" s="17"/>
    </row>
    <row r="233" spans="4:7" s="8" customFormat="1" ht="15.75" customHeight="1">
      <c r="D233" s="17"/>
      <c r="G233" s="17"/>
    </row>
    <row r="234" spans="4:7" s="8" customFormat="1" ht="15.75" customHeight="1">
      <c r="D234" s="17"/>
      <c r="G234" s="17"/>
    </row>
    <row r="235" spans="4:7" s="8" customFormat="1" ht="15.75" customHeight="1">
      <c r="D235" s="17"/>
      <c r="G235" s="17"/>
    </row>
    <row r="236" spans="4:7" s="8" customFormat="1" ht="15.75" customHeight="1">
      <c r="D236" s="17"/>
      <c r="G236" s="17"/>
    </row>
    <row r="237" spans="4:7" s="8" customFormat="1" ht="15.75" customHeight="1">
      <c r="D237" s="17"/>
      <c r="G237" s="17"/>
    </row>
    <row r="238" spans="4:7" s="8" customFormat="1" ht="15.75" customHeight="1">
      <c r="D238" s="17"/>
      <c r="G238" s="17"/>
    </row>
    <row r="239" spans="4:7" s="8" customFormat="1" ht="15.75" customHeight="1">
      <c r="D239" s="17"/>
      <c r="G239" s="17"/>
    </row>
    <row r="240" spans="4:7" s="8" customFormat="1" ht="15.75" customHeight="1">
      <c r="D240" s="17"/>
      <c r="G240" s="17"/>
    </row>
    <row r="241" spans="4:7" s="8" customFormat="1" ht="15.75" customHeight="1">
      <c r="D241" s="17"/>
      <c r="G241" s="17"/>
    </row>
    <row r="242" spans="4:7" s="8" customFormat="1" ht="15.75" customHeight="1">
      <c r="D242" s="17"/>
      <c r="G242" s="17"/>
    </row>
    <row r="243" spans="4:7" s="8" customFormat="1" ht="15.75" customHeight="1">
      <c r="D243" s="17"/>
      <c r="G243" s="17"/>
    </row>
    <row r="244" spans="4:7" s="8" customFormat="1" ht="15.75" customHeight="1">
      <c r="D244" s="17"/>
      <c r="G244" s="17"/>
    </row>
    <row r="245" spans="4:7" s="8" customFormat="1" ht="15.75" customHeight="1">
      <c r="D245" s="17"/>
      <c r="G245" s="17"/>
    </row>
    <row r="246" spans="4:7" s="8" customFormat="1" ht="15.75" customHeight="1">
      <c r="D246" s="17"/>
      <c r="G246" s="17"/>
    </row>
    <row r="247" spans="4:7" s="8" customFormat="1" ht="15.75" customHeight="1">
      <c r="D247" s="17"/>
      <c r="G247" s="17"/>
    </row>
    <row r="248" spans="4:7" s="8" customFormat="1" ht="15.75" customHeight="1">
      <c r="D248" s="17"/>
      <c r="G248" s="17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3" r:id="rId79" xr:uid="{00000000-0004-0000-0000-00004E000000}"/>
    <hyperlink ref="B84" r:id="rId80" xr:uid="{00000000-0004-0000-0000-00004F000000}"/>
    <hyperlink ref="B85" r:id="rId81" xr:uid="{00000000-0004-0000-0000-000050000000}"/>
    <hyperlink ref="B86" r:id="rId82" xr:uid="{00000000-0004-0000-0000-000051000000}"/>
    <hyperlink ref="B87" r:id="rId83" xr:uid="{00000000-0004-0000-0000-000052000000}"/>
    <hyperlink ref="B89" r:id="rId84" xr:uid="{00000000-0004-0000-0000-000053000000}"/>
    <hyperlink ref="B90" r:id="rId85" xr:uid="{00000000-0004-0000-0000-000054000000}"/>
    <hyperlink ref="B91" r:id="rId86" xr:uid="{00000000-0004-0000-0000-000055000000}"/>
    <hyperlink ref="B92" r:id="rId87" xr:uid="{00000000-0004-0000-0000-000056000000}"/>
    <hyperlink ref="B93" r:id="rId88" xr:uid="{00000000-0004-0000-0000-000057000000}"/>
    <hyperlink ref="B94" r:id="rId89" xr:uid="{00000000-0004-0000-0000-000058000000}"/>
    <hyperlink ref="B96" r:id="rId90" xr:uid="{00000000-0004-0000-0000-000059000000}"/>
    <hyperlink ref="B97" r:id="rId91" xr:uid="{00000000-0004-0000-0000-00005A000000}"/>
    <hyperlink ref="B99" r:id="rId92" xr:uid="{00000000-0004-0000-0000-00005B000000}"/>
    <hyperlink ref="B100" r:id="rId93" xr:uid="{00000000-0004-0000-0000-00005C000000}"/>
    <hyperlink ref="B101" r:id="rId94" xr:uid="{00000000-0004-0000-0000-00005D000000}"/>
    <hyperlink ref="B103" r:id="rId95" xr:uid="{00000000-0004-0000-0000-00005E000000}"/>
    <hyperlink ref="B104" r:id="rId96" xr:uid="{00000000-0004-0000-0000-00005F000000}"/>
    <hyperlink ref="B106" r:id="rId97" xr:uid="{00000000-0004-0000-0000-000060000000}"/>
    <hyperlink ref="B107" r:id="rId98" xr:uid="{00000000-0004-0000-0000-000061000000}"/>
    <hyperlink ref="B108" r:id="rId99" xr:uid="{00000000-0004-0000-0000-000062000000}"/>
    <hyperlink ref="B109" r:id="rId100" xr:uid="{00000000-0004-0000-0000-000063000000}"/>
    <hyperlink ref="B110" r:id="rId101" xr:uid="{00000000-0004-0000-0000-000064000000}"/>
    <hyperlink ref="B111" r:id="rId102" xr:uid="{00000000-0004-0000-0000-000065000000}"/>
    <hyperlink ref="B112" r:id="rId103" xr:uid="{00000000-0004-0000-0000-000066000000}"/>
    <hyperlink ref="B113" r:id="rId104" xr:uid="{00000000-0004-0000-0000-000067000000}"/>
    <hyperlink ref="B114" r:id="rId105" xr:uid="{00000000-0004-0000-0000-000068000000}"/>
    <hyperlink ref="B115" r:id="rId106" xr:uid="{00000000-0004-0000-0000-000069000000}"/>
    <hyperlink ref="B116" r:id="rId107" xr:uid="{00000000-0004-0000-0000-00006A000000}"/>
    <hyperlink ref="B117" r:id="rId108" xr:uid="{00000000-0004-0000-0000-00006B000000}"/>
    <hyperlink ref="B119" r:id="rId109" xr:uid="{00000000-0004-0000-0000-00006C000000}"/>
    <hyperlink ref="B120" r:id="rId110" xr:uid="{00000000-0004-0000-0000-00006D000000}"/>
    <hyperlink ref="B121" r:id="rId111" xr:uid="{00000000-0004-0000-0000-00006E000000}"/>
    <hyperlink ref="B122" r:id="rId112" xr:uid="{00000000-0004-0000-0000-00006F000000}"/>
    <hyperlink ref="B123" r:id="rId113" xr:uid="{00000000-0004-0000-0000-000070000000}"/>
    <hyperlink ref="B124" r:id="rId114" xr:uid="{00000000-0004-0000-0000-000071000000}"/>
    <hyperlink ref="B125" r:id="rId115" xr:uid="{00000000-0004-0000-0000-000072000000}"/>
    <hyperlink ref="B126" r:id="rId116" xr:uid="{00000000-0004-0000-0000-000073000000}"/>
    <hyperlink ref="B128" r:id="rId117" xr:uid="{00000000-0004-0000-0000-000074000000}"/>
    <hyperlink ref="B129" r:id="rId118" xr:uid="{00000000-0004-0000-0000-000075000000}"/>
    <hyperlink ref="B131" r:id="rId119" xr:uid="{00000000-0004-0000-0000-000076000000}"/>
    <hyperlink ref="B132" r:id="rId120" xr:uid="{00000000-0004-0000-0000-000077000000}"/>
    <hyperlink ref="B133" r:id="rId121" xr:uid="{00000000-0004-0000-0000-000078000000}"/>
    <hyperlink ref="B134" r:id="rId122" xr:uid="{00000000-0004-0000-0000-000079000000}"/>
    <hyperlink ref="B135" r:id="rId123" xr:uid="{00000000-0004-0000-0000-00007A000000}"/>
    <hyperlink ref="B136" r:id="rId124" xr:uid="{00000000-0004-0000-0000-00007B000000}"/>
    <hyperlink ref="B137" r:id="rId125" xr:uid="{00000000-0004-0000-0000-00007C000000}"/>
    <hyperlink ref="B138" r:id="rId126" xr:uid="{00000000-0004-0000-0000-00007D000000}"/>
    <hyperlink ref="B139" r:id="rId127" xr:uid="{00000000-0004-0000-0000-00007E000000}"/>
    <hyperlink ref="B140" r:id="rId128" xr:uid="{00000000-0004-0000-0000-00007F000000}"/>
    <hyperlink ref="B141" r:id="rId129" xr:uid="{00000000-0004-0000-0000-000080000000}"/>
    <hyperlink ref="B142" r:id="rId130" xr:uid="{00000000-0004-0000-0000-000081000000}"/>
    <hyperlink ref="B143" r:id="rId131" xr:uid="{00000000-0004-0000-0000-000082000000}"/>
    <hyperlink ref="B144" r:id="rId132" xr:uid="{00000000-0004-0000-0000-000083000000}"/>
    <hyperlink ref="B145" r:id="rId133" xr:uid="{00000000-0004-0000-0000-000084000000}"/>
    <hyperlink ref="B146" r:id="rId134" xr:uid="{00000000-0004-0000-0000-000085000000}"/>
    <hyperlink ref="B147" r:id="rId135" xr:uid="{00000000-0004-0000-0000-000086000000}"/>
    <hyperlink ref="B148" r:id="rId136" xr:uid="{00000000-0004-0000-0000-000087000000}"/>
    <hyperlink ref="B149" r:id="rId137" xr:uid="{00000000-0004-0000-0000-000088000000}"/>
    <hyperlink ref="B150" r:id="rId138" xr:uid="{00000000-0004-0000-0000-000089000000}"/>
    <hyperlink ref="B151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9" r:id="rId144" xr:uid="{00000000-0004-0000-0000-00008F000000}"/>
    <hyperlink ref="B160" r:id="rId145" xr:uid="{00000000-0004-0000-0000-000090000000}"/>
    <hyperlink ref="B161" r:id="rId146" xr:uid="{00000000-0004-0000-0000-000091000000}"/>
    <hyperlink ref="B162" r:id="rId147" xr:uid="{00000000-0004-0000-0000-000092000000}"/>
    <hyperlink ref="B163" r:id="rId148" xr:uid="{00000000-0004-0000-0000-000093000000}"/>
    <hyperlink ref="B164" r:id="rId149" xr:uid="{00000000-0004-0000-0000-000094000000}"/>
    <hyperlink ref="B165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69" r:id="rId154" xr:uid="{00000000-0004-0000-0000-000099000000}"/>
    <hyperlink ref="B171" r:id="rId155" xr:uid="{00000000-0004-0000-0000-00009A000000}"/>
    <hyperlink ref="B172" r:id="rId156" xr:uid="{00000000-0004-0000-0000-00009B000000}"/>
    <hyperlink ref="B173" r:id="rId157" xr:uid="{00000000-0004-0000-0000-00009C000000}"/>
    <hyperlink ref="B174" r:id="rId158" xr:uid="{00000000-0004-0000-0000-00009D000000}"/>
    <hyperlink ref="B175" r:id="rId159" xr:uid="{00000000-0004-0000-0000-00009E000000}"/>
    <hyperlink ref="B176" r:id="rId160" xr:uid="{00000000-0004-0000-0000-00009F000000}"/>
    <hyperlink ref="B177" r:id="rId161" xr:uid="{00000000-0004-0000-0000-0000A0000000}"/>
    <hyperlink ref="B178" r:id="rId162" xr:uid="{00000000-0004-0000-0000-0000A1000000}"/>
    <hyperlink ref="B179" r:id="rId163" xr:uid="{00000000-0004-0000-0000-0000A2000000}"/>
    <hyperlink ref="B180" r:id="rId164" xr:uid="{00000000-0004-0000-0000-0000A3000000}"/>
    <hyperlink ref="B181" r:id="rId165" xr:uid="{00000000-0004-0000-0000-0000A4000000}"/>
    <hyperlink ref="B182" r:id="rId166" xr:uid="{00000000-0004-0000-0000-0000A5000000}"/>
    <hyperlink ref="B183" r:id="rId167" xr:uid="{00000000-0004-0000-0000-0000A6000000}"/>
    <hyperlink ref="B184" r:id="rId168" xr:uid="{00000000-0004-0000-0000-0000A7000000}"/>
    <hyperlink ref="B185" r:id="rId169" xr:uid="{00000000-0004-0000-0000-0000A8000000}"/>
    <hyperlink ref="B186" r:id="rId170" xr:uid="{00000000-0004-0000-0000-0000A9000000}"/>
    <hyperlink ref="B187" r:id="rId171" xr:uid="{00000000-0004-0000-0000-0000AA000000}"/>
    <hyperlink ref="B188" r:id="rId172" xr:uid="{00000000-0004-0000-0000-0000AB000000}"/>
    <hyperlink ref="B189" r:id="rId173" xr:uid="{00000000-0004-0000-0000-0000AC000000}"/>
    <hyperlink ref="B190" r:id="rId174" xr:uid="{00000000-0004-0000-0000-0000AD000000}"/>
    <hyperlink ref="B191" r:id="rId175" xr:uid="{00000000-0004-0000-0000-0000AE000000}"/>
    <hyperlink ref="B192" r:id="rId176" xr:uid="{00000000-0004-0000-0000-0000AF000000}"/>
    <hyperlink ref="B193" r:id="rId177" xr:uid="{00000000-0004-0000-0000-0000B0000000}"/>
    <hyperlink ref="B194" r:id="rId178" xr:uid="{00000000-0004-0000-0000-0000B1000000}"/>
    <hyperlink ref="B195" r:id="rId179" xr:uid="{00000000-0004-0000-0000-0000B2000000}"/>
    <hyperlink ref="B196" r:id="rId180" xr:uid="{00000000-0004-0000-0000-0000B3000000}"/>
    <hyperlink ref="B198" r:id="rId181" xr:uid="{00000000-0004-0000-0000-0000B4000000}"/>
    <hyperlink ref="B199" r:id="rId182" xr:uid="{00000000-0004-0000-0000-0000B5000000}"/>
    <hyperlink ref="B200" r:id="rId183" xr:uid="{00000000-0004-0000-0000-0000B6000000}"/>
    <hyperlink ref="B201" r:id="rId184" xr:uid="{00000000-0004-0000-0000-0000B7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F423-E9DB-4806-9170-973E8CDB7CF1}">
  <dimension ref="A1:M132"/>
  <sheetViews>
    <sheetView workbookViewId="0">
      <selection activeCell="G2" sqref="G2"/>
    </sheetView>
  </sheetViews>
  <sheetFormatPr defaultRowHeight="12.75"/>
  <cols>
    <col min="1" max="1" width="16.85546875" bestFit="1" customWidth="1"/>
    <col min="2" max="2" width="17.7109375" bestFit="1" customWidth="1"/>
    <col min="3" max="3" width="16.42578125" bestFit="1" customWidth="1"/>
    <col min="4" max="4" width="26.85546875" bestFit="1" customWidth="1"/>
    <col min="5" max="6" width="9.140625" style="8"/>
    <col min="7" max="7" width="18.7109375" bestFit="1" customWidth="1"/>
    <col min="8" max="8" width="28.28515625" bestFit="1" customWidth="1"/>
    <col min="9" max="9" width="18.7109375" bestFit="1" customWidth="1"/>
    <col min="10" max="13" width="9.140625" style="8"/>
  </cols>
  <sheetData>
    <row r="1" spans="1:9" ht="21" thickTop="1" thickBot="1">
      <c r="A1" s="23" t="s">
        <v>2</v>
      </c>
      <c r="B1" s="23" t="s">
        <v>1</v>
      </c>
      <c r="C1" s="23" t="s">
        <v>250</v>
      </c>
      <c r="D1" s="23" t="s">
        <v>251</v>
      </c>
      <c r="G1" s="28" t="s">
        <v>2</v>
      </c>
      <c r="H1" s="26" t="s">
        <v>248</v>
      </c>
      <c r="I1" s="26" t="s">
        <v>249</v>
      </c>
    </row>
    <row r="2" spans="1:9" ht="13.5" thickTop="1">
      <c r="A2" s="27" t="s">
        <v>104</v>
      </c>
      <c r="B2" s="27">
        <v>16</v>
      </c>
      <c r="C2" s="27">
        <v>80</v>
      </c>
      <c r="D2" s="74" t="str">
        <f>IF(C2&gt;=67,"YES","NO")</f>
        <v>YES</v>
      </c>
      <c r="G2" s="29" t="s">
        <v>104</v>
      </c>
      <c r="H2" s="73">
        <v>16</v>
      </c>
      <c r="I2" s="73">
        <v>80</v>
      </c>
    </row>
    <row r="3" spans="1:9">
      <c r="A3" s="26" t="s">
        <v>59</v>
      </c>
      <c r="B3" s="26">
        <v>16</v>
      </c>
      <c r="C3" s="26">
        <v>83</v>
      </c>
      <c r="D3" s="30" t="str">
        <f t="shared" ref="D3:D18" si="0">IF(C3&gt;=67,"YES","NO")</f>
        <v>YES</v>
      </c>
      <c r="G3" s="29" t="s">
        <v>59</v>
      </c>
      <c r="H3" s="73">
        <v>16</v>
      </c>
      <c r="I3" s="73">
        <v>83</v>
      </c>
    </row>
    <row r="4" spans="1:9">
      <c r="A4" s="26" t="s">
        <v>31</v>
      </c>
      <c r="B4" s="26">
        <v>8</v>
      </c>
      <c r="C4" s="26">
        <v>46</v>
      </c>
      <c r="D4" s="30" t="str">
        <f t="shared" si="0"/>
        <v>NO</v>
      </c>
      <c r="G4" s="29" t="s">
        <v>31</v>
      </c>
      <c r="H4" s="73">
        <v>8</v>
      </c>
      <c r="I4" s="73">
        <v>46</v>
      </c>
    </row>
    <row r="5" spans="1:9">
      <c r="A5" s="26" t="s">
        <v>50</v>
      </c>
      <c r="B5" s="26">
        <v>16</v>
      </c>
      <c r="C5" s="26">
        <v>74</v>
      </c>
      <c r="D5" s="30" t="str">
        <f t="shared" si="0"/>
        <v>YES</v>
      </c>
      <c r="G5" s="29" t="s">
        <v>50</v>
      </c>
      <c r="H5" s="73">
        <v>16</v>
      </c>
      <c r="I5" s="73">
        <v>74</v>
      </c>
    </row>
    <row r="6" spans="1:9">
      <c r="A6" s="26" t="s">
        <v>22</v>
      </c>
      <c r="B6" s="26">
        <v>16</v>
      </c>
      <c r="C6" s="26">
        <v>70</v>
      </c>
      <c r="D6" s="30" t="str">
        <f t="shared" si="0"/>
        <v>YES</v>
      </c>
      <c r="G6" s="29" t="s">
        <v>22</v>
      </c>
      <c r="H6" s="73">
        <v>16</v>
      </c>
      <c r="I6" s="73">
        <v>70</v>
      </c>
    </row>
    <row r="7" spans="1:9">
      <c r="A7" s="26" t="s">
        <v>35</v>
      </c>
      <c r="B7" s="26">
        <v>16</v>
      </c>
      <c r="C7" s="26">
        <v>81</v>
      </c>
      <c r="D7" s="30" t="str">
        <f t="shared" si="0"/>
        <v>YES</v>
      </c>
      <c r="G7" s="29" t="s">
        <v>35</v>
      </c>
      <c r="H7" s="73">
        <v>16</v>
      </c>
      <c r="I7" s="73">
        <v>81</v>
      </c>
    </row>
    <row r="8" spans="1:9">
      <c r="A8" s="26" t="s">
        <v>47</v>
      </c>
      <c r="B8" s="26">
        <v>8</v>
      </c>
      <c r="C8" s="26">
        <v>54</v>
      </c>
      <c r="D8" s="30" t="str">
        <f t="shared" si="0"/>
        <v>NO</v>
      </c>
      <c r="G8" s="29" t="s">
        <v>47</v>
      </c>
      <c r="H8" s="73">
        <v>8</v>
      </c>
      <c r="I8" s="73">
        <v>54</v>
      </c>
    </row>
    <row r="9" spans="1:9">
      <c r="A9" s="26" t="s">
        <v>10</v>
      </c>
      <c r="B9" s="26">
        <v>24</v>
      </c>
      <c r="C9" s="26">
        <v>111</v>
      </c>
      <c r="D9" s="30" t="str">
        <f t="shared" si="0"/>
        <v>YES</v>
      </c>
      <c r="G9" s="29" t="s">
        <v>10</v>
      </c>
      <c r="H9" s="73">
        <v>24</v>
      </c>
      <c r="I9" s="73">
        <v>111</v>
      </c>
    </row>
    <row r="10" spans="1:9">
      <c r="A10" s="26" t="s">
        <v>13</v>
      </c>
      <c r="B10" s="26">
        <v>8</v>
      </c>
      <c r="C10" s="26">
        <v>40</v>
      </c>
      <c r="D10" s="30" t="str">
        <f t="shared" si="0"/>
        <v>NO</v>
      </c>
      <c r="G10" s="29" t="s">
        <v>13</v>
      </c>
      <c r="H10" s="73">
        <v>8</v>
      </c>
      <c r="I10" s="73">
        <v>40</v>
      </c>
    </row>
    <row r="11" spans="1:9">
      <c r="A11" s="26" t="s">
        <v>44</v>
      </c>
      <c r="B11" s="26">
        <v>8</v>
      </c>
      <c r="C11" s="26">
        <v>43</v>
      </c>
      <c r="D11" s="30" t="str">
        <f t="shared" si="0"/>
        <v>NO</v>
      </c>
      <c r="G11" s="29" t="s">
        <v>44</v>
      </c>
      <c r="H11" s="73">
        <v>8</v>
      </c>
      <c r="I11" s="73">
        <v>43</v>
      </c>
    </row>
    <row r="12" spans="1:9">
      <c r="A12" s="26" t="s">
        <v>40</v>
      </c>
      <c r="B12" s="26">
        <v>8</v>
      </c>
      <c r="C12" s="26">
        <v>35</v>
      </c>
      <c r="D12" s="30" t="str">
        <f t="shared" si="0"/>
        <v>NO</v>
      </c>
      <c r="G12" s="29" t="s">
        <v>40</v>
      </c>
      <c r="H12" s="73">
        <v>8</v>
      </c>
      <c r="I12" s="73">
        <v>35</v>
      </c>
    </row>
    <row r="13" spans="1:9">
      <c r="A13" s="26" t="s">
        <v>28</v>
      </c>
      <c r="B13" s="26">
        <v>8</v>
      </c>
      <c r="C13" s="26">
        <v>34</v>
      </c>
      <c r="D13" s="30" t="str">
        <f t="shared" si="0"/>
        <v>NO</v>
      </c>
      <c r="G13" s="29" t="s">
        <v>28</v>
      </c>
      <c r="H13" s="73">
        <v>8</v>
      </c>
      <c r="I13" s="73">
        <v>34</v>
      </c>
    </row>
    <row r="14" spans="1:9">
      <c r="A14" s="26" t="s">
        <v>25</v>
      </c>
      <c r="B14" s="26">
        <v>8</v>
      </c>
      <c r="C14" s="26">
        <v>36</v>
      </c>
      <c r="D14" s="30" t="str">
        <f t="shared" si="0"/>
        <v>NO</v>
      </c>
      <c r="G14" s="29" t="s">
        <v>25</v>
      </c>
      <c r="H14" s="73">
        <v>8</v>
      </c>
      <c r="I14" s="73">
        <v>36</v>
      </c>
    </row>
    <row r="15" spans="1:9">
      <c r="A15" s="26" t="s">
        <v>18</v>
      </c>
      <c r="B15" s="26">
        <v>8</v>
      </c>
      <c r="C15" s="26">
        <v>49</v>
      </c>
      <c r="D15" s="30" t="str">
        <f t="shared" si="0"/>
        <v>NO</v>
      </c>
      <c r="G15" s="29" t="s">
        <v>18</v>
      </c>
      <c r="H15" s="73">
        <v>8</v>
      </c>
      <c r="I15" s="73">
        <v>49</v>
      </c>
    </row>
    <row r="16" spans="1:9">
      <c r="A16" s="26" t="s">
        <v>74</v>
      </c>
      <c r="B16" s="26">
        <v>8</v>
      </c>
      <c r="C16" s="26">
        <v>57</v>
      </c>
      <c r="D16" s="30" t="str">
        <f t="shared" si="0"/>
        <v>NO</v>
      </c>
      <c r="G16" s="29" t="s">
        <v>74</v>
      </c>
      <c r="H16" s="73">
        <v>8</v>
      </c>
      <c r="I16" s="73">
        <v>57</v>
      </c>
    </row>
    <row r="17" spans="1:9">
      <c r="A17" s="26" t="s">
        <v>55</v>
      </c>
      <c r="B17" s="26">
        <v>8</v>
      </c>
      <c r="C17" s="26">
        <v>38</v>
      </c>
      <c r="D17" s="30" t="str">
        <f t="shared" si="0"/>
        <v>NO</v>
      </c>
      <c r="G17" s="29" t="s">
        <v>55</v>
      </c>
      <c r="H17" s="73">
        <v>8</v>
      </c>
      <c r="I17" s="73">
        <v>38</v>
      </c>
    </row>
    <row r="18" spans="1:9">
      <c r="A18" s="26" t="s">
        <v>62</v>
      </c>
      <c r="B18" s="26">
        <v>16</v>
      </c>
      <c r="C18" s="26">
        <v>88</v>
      </c>
      <c r="D18" s="30" t="str">
        <f t="shared" si="0"/>
        <v>YES</v>
      </c>
      <c r="G18" s="29" t="s">
        <v>62</v>
      </c>
      <c r="H18" s="73">
        <v>16</v>
      </c>
      <c r="I18" s="73">
        <v>88</v>
      </c>
    </row>
    <row r="19" spans="1:9">
      <c r="A19" s="26" t="s">
        <v>247</v>
      </c>
      <c r="B19" s="26">
        <v>200</v>
      </c>
      <c r="C19" s="26">
        <v>1019</v>
      </c>
      <c r="D19" s="26"/>
      <c r="G19" s="29" t="s">
        <v>247</v>
      </c>
      <c r="H19" s="73">
        <v>200</v>
      </c>
      <c r="I19" s="73">
        <v>1019</v>
      </c>
    </row>
    <row r="20" spans="1:9" s="8" customFormat="1">
      <c r="G20"/>
      <c r="H20"/>
      <c r="I20"/>
    </row>
    <row r="21" spans="1:9" s="8" customFormat="1"/>
    <row r="22" spans="1:9" s="8" customFormat="1"/>
    <row r="23" spans="1:9" s="8" customFormat="1"/>
    <row r="24" spans="1:9" s="8" customFormat="1"/>
    <row r="25" spans="1:9" s="8" customFormat="1"/>
    <row r="26" spans="1:9" s="8" customFormat="1"/>
    <row r="27" spans="1:9" s="8" customFormat="1"/>
    <row r="28" spans="1:9" s="8" customFormat="1"/>
    <row r="29" spans="1:9" s="8" customFormat="1"/>
    <row r="30" spans="1:9" s="8" customFormat="1"/>
    <row r="31" spans="1:9" s="8" customFormat="1"/>
    <row r="32" spans="1:9" s="8" customFormat="1"/>
    <row r="33" s="8" customFormat="1"/>
    <row r="34" s="8" customFormat="1"/>
    <row r="35" s="8" customFormat="1"/>
    <row r="36" s="8" customFormat="1"/>
    <row r="37" s="8" customFormat="1"/>
    <row r="38" s="8" customFormat="1"/>
    <row r="39" s="8" customFormat="1"/>
    <row r="40" s="8" customFormat="1"/>
    <row r="41" s="8" customFormat="1"/>
    <row r="42" s="8" customFormat="1"/>
    <row r="43" s="8" customFormat="1"/>
    <row r="44" s="8" customFormat="1"/>
    <row r="45" s="8" customFormat="1"/>
    <row r="46" s="8" customFormat="1"/>
    <row r="47" s="8" customFormat="1"/>
    <row r="48" s="8" customFormat="1"/>
    <row r="49" s="8" customFormat="1"/>
    <row r="50" s="8" customFormat="1"/>
    <row r="51" s="8" customFormat="1"/>
    <row r="52" s="8" customFormat="1"/>
    <row r="53" s="8" customFormat="1"/>
    <row r="54" s="8" customFormat="1"/>
    <row r="55" s="8" customFormat="1"/>
    <row r="56" s="8" customFormat="1"/>
    <row r="57" s="8" customFormat="1"/>
    <row r="58" s="8" customFormat="1"/>
    <row r="59" s="8" customFormat="1"/>
    <row r="60" s="8" customFormat="1"/>
    <row r="61" s="8" customFormat="1"/>
    <row r="62" s="8" customFormat="1"/>
    <row r="63" s="8" customFormat="1"/>
    <row r="64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  <row r="87" s="8" customFormat="1"/>
    <row r="88" s="8" customFormat="1"/>
    <row r="89" s="8" customFormat="1"/>
    <row r="90" s="8" customFormat="1"/>
    <row r="91" s="8" customFormat="1"/>
    <row r="92" s="8" customFormat="1"/>
    <row r="93" s="8" customFormat="1"/>
    <row r="94" s="8" customFormat="1"/>
    <row r="95" s="8" customFormat="1"/>
    <row r="96" s="8" customFormat="1"/>
    <row r="97" s="8" customFormat="1"/>
    <row r="98" s="8" customFormat="1"/>
    <row r="99" s="8" customFormat="1"/>
    <row r="100" s="8" customFormat="1"/>
    <row r="101" s="8" customFormat="1"/>
    <row r="102" s="8" customFormat="1"/>
    <row r="103" s="8" customFormat="1"/>
    <row r="104" s="8" customFormat="1"/>
    <row r="105" s="8" customFormat="1"/>
    <row r="106" s="8" customFormat="1"/>
    <row r="107" s="8" customFormat="1"/>
    <row r="108" s="8" customFormat="1"/>
    <row r="109" s="8" customFormat="1"/>
    <row r="110" s="8" customFormat="1"/>
    <row r="111" s="8" customFormat="1"/>
    <row r="112" s="8" customFormat="1"/>
    <row r="113" s="8" customFormat="1"/>
    <row r="114" s="8" customFormat="1"/>
    <row r="115" s="8" customFormat="1"/>
    <row r="116" s="8" customFormat="1"/>
    <row r="117" s="8" customFormat="1"/>
    <row r="118" s="8" customFormat="1"/>
    <row r="119" s="8" customFormat="1"/>
    <row r="120" s="8" customFormat="1"/>
    <row r="121" s="8" customFormat="1"/>
    <row r="122" s="8" customFormat="1"/>
    <row r="123" s="8" customFormat="1"/>
    <row r="124" s="8" customFormat="1"/>
    <row r="125" s="8" customFormat="1"/>
    <row r="126" s="8" customFormat="1"/>
    <row r="127" s="8" customFormat="1"/>
    <row r="128" s="8" customFormat="1"/>
    <row r="129" s="8" customFormat="1"/>
    <row r="130" s="8" customFormat="1"/>
    <row r="131" s="8" customFormat="1"/>
    <row r="132" s="8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533A-0D91-4DD1-B504-226E20DD9B5F}">
  <dimension ref="A1:U286"/>
  <sheetViews>
    <sheetView topLeftCell="A13" zoomScale="115" zoomScaleNormal="115" workbookViewId="0">
      <selection activeCell="R7" sqref="R7:R29"/>
    </sheetView>
  </sheetViews>
  <sheetFormatPr defaultRowHeight="12.75"/>
  <cols>
    <col min="1" max="1" width="10.5703125" bestFit="1" customWidth="1"/>
    <col min="2" max="2" width="10.42578125" bestFit="1" customWidth="1"/>
    <col min="3" max="3" width="16.7109375" customWidth="1"/>
    <col min="4" max="13" width="9.140625" style="8"/>
    <col min="14" max="14" width="10.85546875" style="8" customWidth="1"/>
    <col min="15" max="15" width="9.140625" style="8"/>
    <col min="16" max="16" width="13.42578125" style="8" bestFit="1" customWidth="1"/>
    <col min="17" max="17" width="12.28515625" style="8" bestFit="1" customWidth="1"/>
    <col min="18" max="21" width="9.140625" style="8"/>
  </cols>
  <sheetData>
    <row r="1" spans="1:17" ht="21" thickTop="1" thickBot="1">
      <c r="A1" s="23" t="s">
        <v>252</v>
      </c>
      <c r="B1" s="23" t="s">
        <v>253</v>
      </c>
      <c r="C1" s="23" t="s">
        <v>254</v>
      </c>
    </row>
    <row r="2" spans="1:17" ht="13.5" thickTop="1">
      <c r="A2" s="27" t="str">
        <f>'My trades'!A2</f>
        <v>agfgcfxt</v>
      </c>
      <c r="B2" s="27">
        <f>'My trades'!G2-'My trades'!D2</f>
        <v>251</v>
      </c>
      <c r="C2" s="32">
        <f>('My trades'!H2-'My trades'!F2)*'My trades'!E2</f>
        <v>1.917610405077395</v>
      </c>
      <c r="N2" s="47" t="s">
        <v>260</v>
      </c>
      <c r="O2" s="48">
        <f>MIN(B2:B201)</f>
        <v>30</v>
      </c>
    </row>
    <row r="3" spans="1:17">
      <c r="A3" s="26" t="str">
        <f>'My trades'!A3</f>
        <v>aieoltom</v>
      </c>
      <c r="B3" s="26">
        <f>'My trades'!G3-'My trades'!D3</f>
        <v>839</v>
      </c>
      <c r="C3" s="31">
        <f>('My trades'!H3-'My trades'!F3)*'My trades'!E3</f>
        <v>0.49681701762970598</v>
      </c>
      <c r="N3" s="47" t="s">
        <v>261</v>
      </c>
      <c r="O3" s="48">
        <f>MAX(B2:B201)</f>
        <v>862</v>
      </c>
    </row>
    <row r="4" spans="1:17">
      <c r="A4" s="26" t="str">
        <f>'My trades'!A4</f>
        <v>almuieaq</v>
      </c>
      <c r="B4" s="26">
        <f>'My trades'!G4-'My trades'!D4</f>
        <v>449</v>
      </c>
      <c r="C4" s="31">
        <f>('My trades'!H4-'My trades'!F4)*'My trades'!E4</f>
        <v>-1.5501903178054743</v>
      </c>
      <c r="N4" s="47" t="s">
        <v>262</v>
      </c>
      <c r="O4" s="48">
        <v>20</v>
      </c>
    </row>
    <row r="5" spans="1:17">
      <c r="A5" s="26" t="str">
        <f>'My trades'!A5</f>
        <v>apxkynfx</v>
      </c>
      <c r="B5" s="26">
        <f>'My trades'!G5-'My trades'!D5</f>
        <v>307</v>
      </c>
      <c r="C5" s="31">
        <f>('My trades'!H5-'My trades'!F5)*'My trades'!E5</f>
        <v>0.36765639973741299</v>
      </c>
      <c r="N5" s="47" t="s">
        <v>259</v>
      </c>
      <c r="O5" s="48">
        <f>(O3-O2)/O4</f>
        <v>41.6</v>
      </c>
    </row>
    <row r="6" spans="1:17">
      <c r="A6" s="26" t="str">
        <f>'My trades'!A6</f>
        <v>bbjeprsq</v>
      </c>
      <c r="B6" s="26">
        <f>'My trades'!G6-'My trades'!D6</f>
        <v>626</v>
      </c>
      <c r="C6" s="31">
        <f>('My trades'!H6-'My trades'!F6)*'My trades'!E6</f>
        <v>-3.1851052688947403</v>
      </c>
    </row>
    <row r="7" spans="1:17">
      <c r="A7" s="26" t="str">
        <f>'My trades'!A7</f>
        <v>bcizkhng</v>
      </c>
      <c r="B7" s="26">
        <f>'My trades'!G7-'My trades'!D7</f>
        <v>440</v>
      </c>
      <c r="C7" s="31">
        <f>('My trades'!H7-'My trades'!F7)*'My trades'!E7</f>
        <v>0.67427563789571499</v>
      </c>
      <c r="P7" s="47" t="s">
        <v>267</v>
      </c>
      <c r="Q7" s="47" t="s">
        <v>266</v>
      </c>
    </row>
    <row r="8" spans="1:17">
      <c r="A8" s="26" t="str">
        <f>'My trades'!A8</f>
        <v>bdkloegq</v>
      </c>
      <c r="B8" s="26">
        <f>'My trades'!G8-'My trades'!D8</f>
        <v>430</v>
      </c>
      <c r="C8" s="31">
        <f>('My trades'!H8-'My trades'!F8)*'My trades'!E8</f>
        <v>0.91937945611308602</v>
      </c>
      <c r="N8" s="47" t="s">
        <v>263</v>
      </c>
      <c r="O8" s="48">
        <f>MIN(B8:B207)</f>
        <v>30</v>
      </c>
      <c r="P8" s="49" t="str">
        <f>O8 &amp;"-"&amp; O9</f>
        <v>30-71,6</v>
      </c>
      <c r="Q8" s="48" cm="1">
        <f t="array" ref="Q8:Q27">FREQUENCY($B$2:$B$201,O9:O27)</f>
        <v>7</v>
      </c>
    </row>
    <row r="9" spans="1:17">
      <c r="A9" s="26" t="str">
        <f>'My trades'!A9</f>
        <v>beszhcyh</v>
      </c>
      <c r="B9" s="26">
        <f>'My trades'!G9-'My trades'!D9</f>
        <v>407</v>
      </c>
      <c r="C9" s="31">
        <f>('My trades'!H9-'My trades'!F9)*'My trades'!E9</f>
        <v>1.0126794928685681</v>
      </c>
      <c r="N9" s="56" t="s">
        <v>265</v>
      </c>
      <c r="O9" s="48">
        <f>O8+$O$5</f>
        <v>71.599999999999994</v>
      </c>
      <c r="P9" s="49" t="str">
        <f t="shared" ref="P9:P27" si="0">O9 &amp;"-"&amp; O10</f>
        <v>71,6-113,2</v>
      </c>
      <c r="Q9" s="48">
        <v>6</v>
      </c>
    </row>
    <row r="10" spans="1:17">
      <c r="A10" s="26" t="str">
        <f>'My trades'!A10</f>
        <v>bjfxoyxb</v>
      </c>
      <c r="B10" s="26">
        <f>'My trades'!G10-'My trades'!D10</f>
        <v>573</v>
      </c>
      <c r="C10" s="31">
        <f>('My trades'!H10-'My trades'!F10)*'My trades'!E10</f>
        <v>1.3264069051873706</v>
      </c>
      <c r="N10" s="57"/>
      <c r="O10" s="48">
        <f t="shared" ref="O10:O28" si="1">O9+$O$5</f>
        <v>113.19999999999999</v>
      </c>
      <c r="P10" s="49" t="str">
        <f t="shared" si="0"/>
        <v>113,2-154,8</v>
      </c>
      <c r="Q10" s="48">
        <v>9</v>
      </c>
    </row>
    <row r="11" spans="1:17">
      <c r="A11" s="26" t="str">
        <f>'My trades'!A11</f>
        <v>bpjmrhjo</v>
      </c>
      <c r="B11" s="26">
        <f>'My trades'!G11-'My trades'!D11</f>
        <v>400</v>
      </c>
      <c r="C11" s="31">
        <f>('My trades'!H11-'My trades'!F11)*'My trades'!E11</f>
        <v>1.0623777349169758</v>
      </c>
      <c r="N11" s="57"/>
      <c r="O11" s="48">
        <f t="shared" si="1"/>
        <v>154.79999999999998</v>
      </c>
      <c r="P11" s="49" t="str">
        <f t="shared" si="0"/>
        <v>154,8-196,4</v>
      </c>
      <c r="Q11" s="48">
        <v>9</v>
      </c>
    </row>
    <row r="12" spans="1:17">
      <c r="A12" s="26" t="str">
        <f>'My trades'!A12</f>
        <v>brxwzrct</v>
      </c>
      <c r="B12" s="26">
        <f>'My trades'!G12-'My trades'!D12</f>
        <v>589</v>
      </c>
      <c r="C12" s="31">
        <f>('My trades'!H12-'My trades'!F12)*'My trades'!E12</f>
        <v>0.47934230714693549</v>
      </c>
      <c r="N12" s="57"/>
      <c r="O12" s="48">
        <f t="shared" si="1"/>
        <v>196.39999999999998</v>
      </c>
      <c r="P12" s="49" t="str">
        <f t="shared" si="0"/>
        <v>196,4-238</v>
      </c>
      <c r="Q12" s="48">
        <v>13</v>
      </c>
    </row>
    <row r="13" spans="1:17">
      <c r="A13" s="26" t="str">
        <f>'My trades'!A13</f>
        <v>bumcnvke</v>
      </c>
      <c r="B13" s="26">
        <f>'My trades'!G13-'My trades'!D13</f>
        <v>488</v>
      </c>
      <c r="C13" s="31">
        <f>('My trades'!H13-'My trades'!F13)*'My trades'!E13</f>
        <v>1.3598595032375105</v>
      </c>
      <c r="N13" s="57"/>
      <c r="O13" s="48">
        <f t="shared" si="1"/>
        <v>237.99999999999997</v>
      </c>
      <c r="P13" s="49" t="str">
        <f t="shared" si="0"/>
        <v>238-279,6</v>
      </c>
      <c r="Q13" s="48">
        <v>11</v>
      </c>
    </row>
    <row r="14" spans="1:17">
      <c r="A14" s="26" t="str">
        <f>'My trades'!A14</f>
        <v>cesjzpbs</v>
      </c>
      <c r="B14" s="26">
        <f>'My trades'!G14-'My trades'!D14</f>
        <v>109</v>
      </c>
      <c r="C14" s="31">
        <f>('My trades'!H14-'My trades'!F14)*'My trades'!E14</f>
        <v>2.9151706939834798</v>
      </c>
      <c r="N14" s="57"/>
      <c r="O14" s="48">
        <f t="shared" si="1"/>
        <v>279.59999999999997</v>
      </c>
      <c r="P14" s="49" t="str">
        <f t="shared" si="0"/>
        <v>279,6-321,2</v>
      </c>
      <c r="Q14" s="48">
        <v>11</v>
      </c>
    </row>
    <row r="15" spans="1:17">
      <c r="A15" s="26" t="str">
        <f>'My trades'!A15</f>
        <v>cetffxgx</v>
      </c>
      <c r="B15" s="26">
        <f>'My trades'!G15-'My trades'!D15</f>
        <v>668</v>
      </c>
      <c r="C15" s="31">
        <f>('My trades'!H15-'My trades'!F15)*'My trades'!E15</f>
        <v>0.52361641145730609</v>
      </c>
      <c r="N15" s="57"/>
      <c r="O15" s="48">
        <f t="shared" si="1"/>
        <v>321.2</v>
      </c>
      <c r="P15" s="49" t="str">
        <f t="shared" si="0"/>
        <v>321,2-362,8</v>
      </c>
      <c r="Q15" s="48">
        <v>10</v>
      </c>
    </row>
    <row r="16" spans="1:17">
      <c r="A16" s="26" t="str">
        <f>'My trades'!A16</f>
        <v>chhqshvn</v>
      </c>
      <c r="B16" s="26">
        <f>'My trades'!G16-'My trades'!D16</f>
        <v>267</v>
      </c>
      <c r="C16" s="31">
        <f>('My trades'!H16-'My trades'!F16)*'My trades'!E16</f>
        <v>-0.37738991121094789</v>
      </c>
      <c r="N16" s="57"/>
      <c r="O16" s="48">
        <f t="shared" si="1"/>
        <v>362.8</v>
      </c>
      <c r="P16" s="49" t="str">
        <f t="shared" si="0"/>
        <v>362,8-404,4</v>
      </c>
      <c r="Q16" s="48">
        <v>10</v>
      </c>
    </row>
    <row r="17" spans="1:17">
      <c r="A17" s="26" t="str">
        <f>'My trades'!A17</f>
        <v>ciykrilb</v>
      </c>
      <c r="B17" s="26">
        <f>'My trades'!G17-'My trades'!D17</f>
        <v>78</v>
      </c>
      <c r="C17" s="31">
        <f>('My trades'!H17-'My trades'!F17)*'My trades'!E17</f>
        <v>-4.0381767903821597</v>
      </c>
      <c r="N17" s="57"/>
      <c r="O17" s="48">
        <f t="shared" si="1"/>
        <v>404.40000000000003</v>
      </c>
      <c r="P17" s="49" t="str">
        <f t="shared" si="0"/>
        <v>404,4-446</v>
      </c>
      <c r="Q17" s="48">
        <v>15</v>
      </c>
    </row>
    <row r="18" spans="1:17">
      <c r="A18" s="26" t="str">
        <f>'My trades'!A18</f>
        <v>cnitsbpk</v>
      </c>
      <c r="B18" s="26">
        <f>'My trades'!G18-'My trades'!D18</f>
        <v>762</v>
      </c>
      <c r="C18" s="31">
        <f>('My trades'!H18-'My trades'!F18)*'My trades'!E18</f>
        <v>-0.17044592791049001</v>
      </c>
      <c r="N18" s="57"/>
      <c r="O18" s="48">
        <f t="shared" si="1"/>
        <v>446.00000000000006</v>
      </c>
      <c r="P18" s="49" t="str">
        <f t="shared" si="0"/>
        <v>446-487,6</v>
      </c>
      <c r="Q18" s="48">
        <v>10</v>
      </c>
    </row>
    <row r="19" spans="1:17">
      <c r="A19" s="26" t="str">
        <f>'My trades'!A19</f>
        <v>cntrbotn</v>
      </c>
      <c r="B19" s="26">
        <f>'My trades'!G19-'My trades'!D19</f>
        <v>623</v>
      </c>
      <c r="C19" s="31">
        <f>('My trades'!H19-'My trades'!F19)*'My trades'!E19</f>
        <v>0.44281898729743208</v>
      </c>
      <c r="N19" s="57"/>
      <c r="O19" s="48">
        <f t="shared" si="1"/>
        <v>487.60000000000008</v>
      </c>
      <c r="P19" s="49" t="str">
        <f t="shared" si="0"/>
        <v>487,6-529,2</v>
      </c>
      <c r="Q19" s="48">
        <v>9</v>
      </c>
    </row>
    <row r="20" spans="1:17">
      <c r="A20" s="26" t="str">
        <f>'My trades'!A20</f>
        <v>cwuqczya</v>
      </c>
      <c r="B20" s="26">
        <f>'My trades'!G20-'My trades'!D20</f>
        <v>862</v>
      </c>
      <c r="C20" s="31">
        <f>('My trades'!H20-'My trades'!F20)*'My trades'!E20</f>
        <v>0.29609314466304898</v>
      </c>
      <c r="N20" s="57"/>
      <c r="O20" s="48">
        <f t="shared" si="1"/>
        <v>529.20000000000005</v>
      </c>
      <c r="P20" s="49" t="str">
        <f t="shared" si="0"/>
        <v>529,2-570,8</v>
      </c>
      <c r="Q20" s="48">
        <v>11</v>
      </c>
    </row>
    <row r="21" spans="1:17">
      <c r="A21" s="26" t="str">
        <f>'My trades'!A21</f>
        <v>cymioqte</v>
      </c>
      <c r="B21" s="26">
        <f>'My trades'!G21-'My trades'!D21</f>
        <v>634</v>
      </c>
      <c r="C21" s="31">
        <f>('My trades'!H21-'My trades'!F21)*'My trades'!E21</f>
        <v>0.301704449179653</v>
      </c>
      <c r="N21" s="57"/>
      <c r="O21" s="48">
        <f t="shared" si="1"/>
        <v>570.80000000000007</v>
      </c>
      <c r="P21" s="49" t="str">
        <f>O21 &amp;"-"&amp; O22</f>
        <v>570,8-612,4</v>
      </c>
      <c r="Q21" s="48">
        <v>12</v>
      </c>
    </row>
    <row r="22" spans="1:17">
      <c r="A22" s="26" t="str">
        <f>'My trades'!A22</f>
        <v>dcnexoao</v>
      </c>
      <c r="B22" s="26">
        <f>'My trades'!G22-'My trades'!D22</f>
        <v>546</v>
      </c>
      <c r="C22" s="31">
        <f>('My trades'!H22-'My trades'!F22)*'My trades'!E22</f>
        <v>-0.61275828035882995</v>
      </c>
      <c r="E22" s="50" t="s">
        <v>255</v>
      </c>
      <c r="F22" s="51"/>
      <c r="G22" s="51"/>
      <c r="H22" s="51"/>
      <c r="I22" s="51"/>
      <c r="J22" s="51"/>
      <c r="K22" s="51"/>
      <c r="L22" s="51"/>
      <c r="M22" s="51"/>
      <c r="N22" s="57"/>
      <c r="O22" s="48">
        <f t="shared" si="1"/>
        <v>612.40000000000009</v>
      </c>
      <c r="P22" s="49" t="str">
        <f t="shared" si="0"/>
        <v>612,4-654</v>
      </c>
      <c r="Q22" s="48">
        <v>11</v>
      </c>
    </row>
    <row r="23" spans="1:17">
      <c r="A23" s="26" t="str">
        <f>'My trades'!A23</f>
        <v>dcplrgaa</v>
      </c>
      <c r="B23" s="26">
        <f>'My trades'!G23-'My trades'!D23</f>
        <v>708</v>
      </c>
      <c r="C23" s="31">
        <f>('My trades'!H23-'My trades'!F23)*'My trades'!E23</f>
        <v>-2.5885468441152</v>
      </c>
      <c r="E23" s="52"/>
      <c r="F23" s="53"/>
      <c r="G23" s="53"/>
      <c r="H23" s="53"/>
      <c r="I23" s="53"/>
      <c r="J23" s="53"/>
      <c r="K23" s="53"/>
      <c r="L23" s="53"/>
      <c r="M23" s="53"/>
      <c r="N23" s="57"/>
      <c r="O23" s="48">
        <f t="shared" si="1"/>
        <v>654.00000000000011</v>
      </c>
      <c r="P23" s="49" t="str">
        <f t="shared" si="0"/>
        <v>654-695,6</v>
      </c>
      <c r="Q23" s="48">
        <v>8</v>
      </c>
    </row>
    <row r="24" spans="1:17">
      <c r="A24" s="26" t="str">
        <f>'My trades'!A24</f>
        <v>dieionnl</v>
      </c>
      <c r="B24" s="26">
        <f>'My trades'!G24-'My trades'!D24</f>
        <v>547</v>
      </c>
      <c r="C24" s="31">
        <f>('My trades'!H24-'My trades'!F24)*'My trades'!E24</f>
        <v>0.76109127749102012</v>
      </c>
      <c r="E24" s="52"/>
      <c r="F24" s="53"/>
      <c r="G24" s="53"/>
      <c r="H24" s="53"/>
      <c r="I24" s="53"/>
      <c r="J24" s="53"/>
      <c r="K24" s="53"/>
      <c r="L24" s="53"/>
      <c r="M24" s="53"/>
      <c r="N24" s="57"/>
      <c r="O24" s="48">
        <f t="shared" si="1"/>
        <v>695.60000000000014</v>
      </c>
      <c r="P24" s="49" t="str">
        <f t="shared" si="0"/>
        <v>695,6-737,2</v>
      </c>
      <c r="Q24" s="48">
        <v>12</v>
      </c>
    </row>
    <row r="25" spans="1:17">
      <c r="A25" s="26" t="str">
        <f>'My trades'!A25</f>
        <v>dlgsjszn</v>
      </c>
      <c r="B25" s="26">
        <f>'My trades'!G25-'My trades'!D25</f>
        <v>237</v>
      </c>
      <c r="C25" s="31">
        <f>('My trades'!H25-'My trades'!F25)*'My trades'!E25</f>
        <v>0.44720070488754604</v>
      </c>
      <c r="E25" s="52"/>
      <c r="F25" s="53"/>
      <c r="G25" s="53"/>
      <c r="H25" s="53"/>
      <c r="I25" s="53"/>
      <c r="J25" s="53"/>
      <c r="K25" s="53"/>
      <c r="L25" s="53"/>
      <c r="M25" s="53"/>
      <c r="N25" s="57"/>
      <c r="O25" s="48">
        <f t="shared" si="1"/>
        <v>737.20000000000016</v>
      </c>
      <c r="P25" s="49" t="str">
        <f>O25 &amp;"-"&amp; O26</f>
        <v>737,2-778,8</v>
      </c>
      <c r="Q25" s="48">
        <v>13</v>
      </c>
    </row>
    <row r="26" spans="1:17">
      <c r="A26" s="26" t="str">
        <f>'My trades'!A26</f>
        <v>dpaxyvrx</v>
      </c>
      <c r="B26" s="26">
        <f>'My trades'!G26-'My trades'!D26</f>
        <v>51</v>
      </c>
      <c r="C26" s="31">
        <f>('My trades'!H26-'My trades'!F26)*'My trades'!E26</f>
        <v>-0.32528106858049388</v>
      </c>
      <c r="E26" s="54"/>
      <c r="F26" s="55"/>
      <c r="G26" s="55"/>
      <c r="H26" s="55"/>
      <c r="I26" s="55"/>
      <c r="J26" s="55"/>
      <c r="K26" s="55"/>
      <c r="L26" s="55"/>
      <c r="M26" s="55"/>
      <c r="N26" s="57"/>
      <c r="O26" s="48">
        <f t="shared" si="1"/>
        <v>778.80000000000018</v>
      </c>
      <c r="P26" s="49" t="str">
        <f t="shared" si="0"/>
        <v>778,8-820,4</v>
      </c>
      <c r="Q26" s="48">
        <v>9</v>
      </c>
    </row>
    <row r="27" spans="1:17">
      <c r="A27" s="26" t="str">
        <f>'My trades'!A27</f>
        <v>dspetbsq</v>
      </c>
      <c r="B27" s="26">
        <f>'My trades'!G27-'My trades'!D27</f>
        <v>207</v>
      </c>
      <c r="C27" s="31">
        <f>('My trades'!H27-'My trades'!F27)*'My trades'!E27</f>
        <v>-5.4295326750647517</v>
      </c>
      <c r="N27" s="58"/>
      <c r="O27" s="48">
        <f t="shared" si="1"/>
        <v>820.4000000000002</v>
      </c>
      <c r="P27" s="49" t="str">
        <f t="shared" si="0"/>
        <v>820,4-862</v>
      </c>
      <c r="Q27" s="48">
        <v>4</v>
      </c>
    </row>
    <row r="28" spans="1:17">
      <c r="A28" s="26" t="str">
        <f>'My trades'!A28</f>
        <v>ebkkmqbi</v>
      </c>
      <c r="B28" s="26">
        <f>'My trades'!G28-'My trades'!D28</f>
        <v>465</v>
      </c>
      <c r="C28" s="31">
        <f>('My trades'!H28-'My trades'!F28)*'My trades'!E28</f>
        <v>-3.8535105118851813</v>
      </c>
      <c r="N28" s="47" t="s">
        <v>264</v>
      </c>
      <c r="O28" s="48">
        <f t="shared" si="1"/>
        <v>862.00000000000023</v>
      </c>
      <c r="P28" s="49"/>
      <c r="Q28" s="48"/>
    </row>
    <row r="29" spans="1:17">
      <c r="A29" s="26" t="str">
        <f>'My trades'!A29</f>
        <v>egvfikiy</v>
      </c>
      <c r="B29" s="26">
        <f>'My trades'!G29-'My trades'!D29</f>
        <v>557</v>
      </c>
      <c r="C29" s="31">
        <f>('My trades'!H29-'My trades'!F29)*'My trades'!E29</f>
        <v>-7.6959515288168023E-2</v>
      </c>
    </row>
    <row r="30" spans="1:17">
      <c r="A30" s="26" t="str">
        <f>'My trades'!A30</f>
        <v>eknpqcge</v>
      </c>
      <c r="B30" s="26">
        <f>'My trades'!G30-'My trades'!D30</f>
        <v>513</v>
      </c>
      <c r="C30" s="31">
        <f>('My trades'!H30-'My trades'!F30)*'My trades'!E30</f>
        <v>2.432401333318098</v>
      </c>
    </row>
    <row r="31" spans="1:17">
      <c r="A31" s="26" t="str">
        <f>'My trades'!A31</f>
        <v>ekteqlhb</v>
      </c>
      <c r="B31" s="26">
        <f>'My trades'!G31-'My trades'!D31</f>
        <v>686</v>
      </c>
      <c r="C31" s="31">
        <f>('My trades'!H31-'My trades'!F31)*'My trades'!E31</f>
        <v>0.15328853698608502</v>
      </c>
    </row>
    <row r="32" spans="1:17">
      <c r="A32" s="26" t="str">
        <f>'My trades'!A32</f>
        <v>emjmheht</v>
      </c>
      <c r="B32" s="26">
        <f>'My trades'!G32-'My trades'!D32</f>
        <v>387</v>
      </c>
      <c r="C32" s="31">
        <f>('My trades'!H32-'My trades'!F32)*'My trades'!E32</f>
        <v>5.7730508510901872</v>
      </c>
    </row>
    <row r="33" spans="1:3">
      <c r="A33" s="26" t="str">
        <f>'My trades'!A33</f>
        <v>eodhevfz</v>
      </c>
      <c r="B33" s="26">
        <f>'My trades'!G33-'My trades'!D33</f>
        <v>795</v>
      </c>
      <c r="C33" s="31">
        <f>('My trades'!H33-'My trades'!F33)*'My trades'!E33</f>
        <v>5.8835676533436034</v>
      </c>
    </row>
    <row r="34" spans="1:3">
      <c r="A34" s="26" t="str">
        <f>'My trades'!A34</f>
        <v>ewzlrcco</v>
      </c>
      <c r="B34" s="26">
        <f>'My trades'!G34-'My trades'!D34</f>
        <v>499</v>
      </c>
      <c r="C34" s="31">
        <f>('My trades'!H34-'My trades'!F34)*'My trades'!E34</f>
        <v>2.9976291326534672</v>
      </c>
    </row>
    <row r="35" spans="1:3">
      <c r="A35" s="26" t="str">
        <f>'My trades'!A35</f>
        <v>fenldjbq</v>
      </c>
      <c r="B35" s="26">
        <f>'My trades'!G35-'My trades'!D35</f>
        <v>607</v>
      </c>
      <c r="C35" s="31">
        <f>('My trades'!H35-'My trades'!F35)*'My trades'!E35</f>
        <v>-2.7592838303516798</v>
      </c>
    </row>
    <row r="36" spans="1:3">
      <c r="A36" s="26" t="str">
        <f>'My trades'!A36</f>
        <v>fipcayvv</v>
      </c>
      <c r="B36" s="26">
        <f>'My trades'!G36-'My trades'!D36</f>
        <v>434</v>
      </c>
      <c r="C36" s="31">
        <f>('My trades'!H36-'My trades'!F36)*'My trades'!E36</f>
        <v>-0.62411902987622447</v>
      </c>
    </row>
    <row r="37" spans="1:3">
      <c r="A37" s="26" t="str">
        <f>'My trades'!A37</f>
        <v>fjcdzhde</v>
      </c>
      <c r="B37" s="26">
        <f>'My trades'!G37-'My trades'!D37</f>
        <v>851</v>
      </c>
      <c r="C37" s="31">
        <f>('My trades'!H37-'My trades'!F37)*'My trades'!E37</f>
        <v>-1.4878863200993582</v>
      </c>
    </row>
    <row r="38" spans="1:3">
      <c r="A38" s="26" t="str">
        <f>'My trades'!A38</f>
        <v>fjhbimle</v>
      </c>
      <c r="B38" s="26">
        <f>'My trades'!G38-'My trades'!D38</f>
        <v>130</v>
      </c>
      <c r="C38" s="31">
        <f>('My trades'!H38-'My trades'!F38)*'My trades'!E38</f>
        <v>-0.41919267769104795</v>
      </c>
    </row>
    <row r="39" spans="1:3">
      <c r="A39" s="26" t="str">
        <f>'My trades'!A39</f>
        <v>fkgjitio</v>
      </c>
      <c r="B39" s="26">
        <f>'My trades'!G39-'My trades'!D39</f>
        <v>448</v>
      </c>
      <c r="C39" s="31">
        <f>('My trades'!H39-'My trades'!F39)*'My trades'!E39</f>
        <v>-2.2252395811399799</v>
      </c>
    </row>
    <row r="40" spans="1:3">
      <c r="A40" s="26" t="str">
        <f>'My trades'!A40</f>
        <v>frlnnmpc</v>
      </c>
      <c r="B40" s="26">
        <f>'My trades'!G40-'My trades'!D40</f>
        <v>482</v>
      </c>
      <c r="C40" s="31">
        <f>('My trades'!H40-'My trades'!F40)*'My trades'!E40</f>
        <v>-4.8240735386516205</v>
      </c>
    </row>
    <row r="41" spans="1:3">
      <c r="A41" s="26" t="str">
        <f>'My trades'!A41</f>
        <v>fucpzbpk</v>
      </c>
      <c r="B41" s="26">
        <f>'My trades'!G41-'My trades'!D41</f>
        <v>71</v>
      </c>
      <c r="C41" s="31">
        <f>('My trades'!H41-'My trades'!F41)*'My trades'!E41</f>
        <v>-1.6706742578156639</v>
      </c>
    </row>
    <row r="42" spans="1:3">
      <c r="A42" s="26" t="str">
        <f>'My trades'!A42</f>
        <v>fzpkolfu</v>
      </c>
      <c r="B42" s="26">
        <f>'My trades'!G42-'My trades'!D42</f>
        <v>743</v>
      </c>
      <c r="C42" s="31">
        <f>('My trades'!H42-'My trades'!F42)*'My trades'!E42</f>
        <v>2.0811125741674505</v>
      </c>
    </row>
    <row r="43" spans="1:3">
      <c r="A43" s="26" t="str">
        <f>'My trades'!A43</f>
        <v>gcndrwci</v>
      </c>
      <c r="B43" s="26">
        <f>'My trades'!G43-'My trades'!D43</f>
        <v>106</v>
      </c>
      <c r="C43" s="31">
        <f>('My trades'!H43-'My trades'!F43)*'My trades'!E43</f>
        <v>1.7198007376601101</v>
      </c>
    </row>
    <row r="44" spans="1:3">
      <c r="A44" s="26" t="str">
        <f>'My trades'!A44</f>
        <v>gfiuzniq</v>
      </c>
      <c r="B44" s="26">
        <f>'My trades'!G44-'My trades'!D44</f>
        <v>277</v>
      </c>
      <c r="C44" s="31">
        <f>('My trades'!H44-'My trades'!F44)*'My trades'!E44</f>
        <v>5.6557296266118122</v>
      </c>
    </row>
    <row r="45" spans="1:3">
      <c r="A45" s="26" t="str">
        <f>'My trades'!A45</f>
        <v>giuqiukz</v>
      </c>
      <c r="B45" s="26">
        <f>'My trades'!G45-'My trades'!D45</f>
        <v>227</v>
      </c>
      <c r="C45" s="31">
        <f>('My trades'!H45-'My trades'!F45)*'My trades'!E45</f>
        <v>-0.55470984456488792</v>
      </c>
    </row>
    <row r="46" spans="1:3">
      <c r="A46" s="26" t="str">
        <f>'My trades'!A46</f>
        <v>gnghjpok</v>
      </c>
      <c r="B46" s="26">
        <f>'My trades'!G46-'My trades'!D46</f>
        <v>707</v>
      </c>
      <c r="C46" s="31">
        <f>('My trades'!H46-'My trades'!F46)*'My trades'!E46</f>
        <v>-5.0188697949823471</v>
      </c>
    </row>
    <row r="47" spans="1:3">
      <c r="A47" s="26" t="str">
        <f>'My trades'!A47</f>
        <v>goxmkirb</v>
      </c>
      <c r="B47" s="26">
        <f>'My trades'!G47-'My trades'!D47</f>
        <v>730</v>
      </c>
      <c r="C47" s="31">
        <f>('My trades'!H47-'My trades'!F47)*'My trades'!E47</f>
        <v>-0.35893634273319763</v>
      </c>
    </row>
    <row r="48" spans="1:3">
      <c r="A48" s="26" t="str">
        <f>'My trades'!A48</f>
        <v>gsarsxnf</v>
      </c>
      <c r="B48" s="26">
        <f>'My trades'!G48-'My trades'!D48</f>
        <v>326</v>
      </c>
      <c r="C48" s="31">
        <f>('My trades'!H48-'My trades'!F48)*'My trades'!E48</f>
        <v>-6.5528850516359043</v>
      </c>
    </row>
    <row r="49" spans="1:3">
      <c r="A49" s="26" t="str">
        <f>'My trades'!A49</f>
        <v>hafqyymf</v>
      </c>
      <c r="B49" s="26">
        <f>'My trades'!G49-'My trades'!D49</f>
        <v>588</v>
      </c>
      <c r="C49" s="31">
        <f>('My trades'!H49-'My trades'!F49)*'My trades'!E49</f>
        <v>-3.32862008852215</v>
      </c>
    </row>
    <row r="50" spans="1:3">
      <c r="A50" s="26" t="str">
        <f>'My trades'!A50</f>
        <v>hdpggnqd</v>
      </c>
      <c r="B50" s="26">
        <f>'My trades'!G50-'My trades'!D50</f>
        <v>524</v>
      </c>
      <c r="C50" s="31">
        <f>('My trades'!H50-'My trades'!F50)*'My trades'!E50</f>
        <v>1.8146635979030941</v>
      </c>
    </row>
    <row r="51" spans="1:3">
      <c r="A51" s="26" t="str">
        <f>'My trades'!A51</f>
        <v>hdslpwul</v>
      </c>
      <c r="B51" s="26">
        <f>'My trades'!G51-'My trades'!D51</f>
        <v>428</v>
      </c>
      <c r="C51" s="31">
        <f>('My trades'!H51-'My trades'!F51)*'My trades'!E51</f>
        <v>2.075152539482163</v>
      </c>
    </row>
    <row r="52" spans="1:3">
      <c r="A52" s="26" t="str">
        <f>'My trades'!A52</f>
        <v>heuzjzpi</v>
      </c>
      <c r="B52" s="26">
        <f>'My trades'!G52-'My trades'!D52</f>
        <v>615</v>
      </c>
      <c r="C52" s="31">
        <f>('My trades'!H52-'My trades'!F52)*'My trades'!E52</f>
        <v>-1.5872857242842442</v>
      </c>
    </row>
    <row r="53" spans="1:3">
      <c r="A53" s="26" t="str">
        <f>'My trades'!A53</f>
        <v>hfdavabb</v>
      </c>
      <c r="B53" s="26">
        <f>'My trades'!G53-'My trades'!D53</f>
        <v>622</v>
      </c>
      <c r="C53" s="31">
        <f>('My trades'!H53-'My trades'!F53)*'My trades'!E53</f>
        <v>-0.30381566673822691</v>
      </c>
    </row>
    <row r="54" spans="1:3">
      <c r="A54" s="26" t="str">
        <f>'My trades'!A54</f>
        <v>hfjghpbq</v>
      </c>
      <c r="B54" s="26">
        <f>'My trades'!G54-'My trades'!D54</f>
        <v>635</v>
      </c>
      <c r="C54" s="31">
        <f>('My trades'!H54-'My trades'!F54)*'My trades'!E54</f>
        <v>6.5021316256868396</v>
      </c>
    </row>
    <row r="55" spans="1:3">
      <c r="A55" s="26" t="str">
        <f>'My trades'!A55</f>
        <v>hflsqchs</v>
      </c>
      <c r="B55" s="26">
        <f>'My trades'!G55-'My trades'!D55</f>
        <v>324</v>
      </c>
      <c r="C55" s="31">
        <f>('My trades'!H55-'My trades'!F55)*'My trades'!E55</f>
        <v>1.111511838610578</v>
      </c>
    </row>
    <row r="56" spans="1:3">
      <c r="A56" s="26" t="str">
        <f>'My trades'!A56</f>
        <v>hfwtmipz</v>
      </c>
      <c r="B56" s="26">
        <f>'My trades'!G56-'My trades'!D56</f>
        <v>162</v>
      </c>
      <c r="C56" s="31">
        <f>('My trades'!H56-'My trades'!F56)*'My trades'!E56</f>
        <v>2.824521311271774</v>
      </c>
    </row>
    <row r="57" spans="1:3">
      <c r="A57" s="26" t="str">
        <f>'My trades'!A57</f>
        <v>hkesgmfj</v>
      </c>
      <c r="B57" s="26">
        <f>'My trades'!G57-'My trades'!D57</f>
        <v>793</v>
      </c>
      <c r="C57" s="31">
        <f>('My trades'!H57-'My trades'!F57)*'My trades'!E57</f>
        <v>2.2708822152455479</v>
      </c>
    </row>
    <row r="58" spans="1:3">
      <c r="A58" s="26" t="str">
        <f>'My trades'!A58</f>
        <v>hmtiybmi</v>
      </c>
      <c r="B58" s="26">
        <f>'My trades'!G58-'My trades'!D58</f>
        <v>344</v>
      </c>
      <c r="C58" s="31">
        <f>('My trades'!H58-'My trades'!F58)*'My trades'!E58</f>
        <v>1.2820395994142724</v>
      </c>
    </row>
    <row r="59" spans="1:3">
      <c r="A59" s="26" t="str">
        <f>'My trades'!A59</f>
        <v>hnmvqkxv</v>
      </c>
      <c r="B59" s="26">
        <f>'My trades'!G59-'My trades'!D59</f>
        <v>609</v>
      </c>
      <c r="C59" s="31">
        <f>('My trades'!H59-'My trades'!F59)*'My trades'!E59</f>
        <v>-2.660822045115486</v>
      </c>
    </row>
    <row r="60" spans="1:3">
      <c r="A60" s="26" t="str">
        <f>'My trades'!A60</f>
        <v>hpvfzslv</v>
      </c>
      <c r="B60" s="26">
        <f>'My trades'!G60-'My trades'!D60</f>
        <v>30</v>
      </c>
      <c r="C60" s="31">
        <f>('My trades'!H60-'My trades'!F60)*'My trades'!E60</f>
        <v>1.1391515254013935</v>
      </c>
    </row>
    <row r="61" spans="1:3">
      <c r="A61" s="26" t="str">
        <f>'My trades'!A61</f>
        <v>hrfilyua</v>
      </c>
      <c r="B61" s="26">
        <f>'My trades'!G61-'My trades'!D61</f>
        <v>644</v>
      </c>
      <c r="C61" s="31">
        <f>('My trades'!H61-'My trades'!F61)*'My trades'!E61</f>
        <v>1.1964639334637579</v>
      </c>
    </row>
    <row r="62" spans="1:3">
      <c r="A62" s="26" t="str">
        <f>'My trades'!A62</f>
        <v>hutszssu</v>
      </c>
      <c r="B62" s="26">
        <f>'My trades'!G62-'My trades'!D62</f>
        <v>705</v>
      </c>
      <c r="C62" s="31">
        <f>('My trades'!H62-'My trades'!F62)*'My trades'!E62</f>
        <v>-4.4499802946322493</v>
      </c>
    </row>
    <row r="63" spans="1:3">
      <c r="A63" s="26" t="str">
        <f>'My trades'!A63</f>
        <v>iagrfath</v>
      </c>
      <c r="B63" s="26">
        <f>'My trades'!G63-'My trades'!D63</f>
        <v>181</v>
      </c>
      <c r="C63" s="31">
        <f>('My trades'!H63-'My trades'!F63)*'My trades'!E63</f>
        <v>0.4006979438649676</v>
      </c>
    </row>
    <row r="64" spans="1:3">
      <c r="A64" s="26" t="str">
        <f>'My trades'!A64</f>
        <v>icbmbfqb</v>
      </c>
      <c r="B64" s="26">
        <f>'My trades'!G64-'My trades'!D64</f>
        <v>617</v>
      </c>
      <c r="C64" s="31">
        <f>('My trades'!H64-'My trades'!F64)*'My trades'!E64</f>
        <v>-4.9242570254792817</v>
      </c>
    </row>
    <row r="65" spans="1:3">
      <c r="A65" s="26" t="str">
        <f>'My trades'!A65</f>
        <v>icgddrqk</v>
      </c>
      <c r="B65" s="26">
        <f>'My trades'!G65-'My trades'!D65</f>
        <v>281</v>
      </c>
      <c r="C65" s="31">
        <f>('My trades'!H65-'My trades'!F65)*'My trades'!E65</f>
        <v>0.56354077591473983</v>
      </c>
    </row>
    <row r="66" spans="1:3">
      <c r="A66" s="26" t="str">
        <f>'My trades'!A66</f>
        <v>ifomvwpk</v>
      </c>
      <c r="B66" s="26">
        <f>'My trades'!G66-'My trades'!D66</f>
        <v>688</v>
      </c>
      <c r="C66" s="31">
        <f>('My trades'!H66-'My trades'!F66)*'My trades'!E66</f>
        <v>-3.0697853937032005E-2</v>
      </c>
    </row>
    <row r="67" spans="1:3">
      <c r="A67" s="26" t="str">
        <f>'My trades'!A67</f>
        <v>ifskxsgr</v>
      </c>
      <c r="B67" s="26">
        <f>'My trades'!G67-'My trades'!D67</f>
        <v>355</v>
      </c>
      <c r="C67" s="31">
        <f>('My trades'!H67-'My trades'!F67)*'My trades'!E67</f>
        <v>-0.57038561737306004</v>
      </c>
    </row>
    <row r="68" spans="1:3">
      <c r="A68" s="26" t="str">
        <f>'My trades'!A68</f>
        <v>ivnpgban</v>
      </c>
      <c r="B68" s="26">
        <f>'My trades'!G68-'My trades'!D68</f>
        <v>257</v>
      </c>
      <c r="C68" s="31">
        <f>('My trades'!H68-'My trades'!F68)*'My trades'!E68</f>
        <v>-0.42779265355129403</v>
      </c>
    </row>
    <row r="69" spans="1:3">
      <c r="A69" s="26" t="str">
        <f>'My trades'!A69</f>
        <v>iztdnkqz</v>
      </c>
      <c r="B69" s="26">
        <f>'My trades'!G69-'My trades'!D69</f>
        <v>204</v>
      </c>
      <c r="C69" s="31">
        <f>('My trades'!H69-'My trades'!F69)*'My trades'!E69</f>
        <v>-2.5716032628258279</v>
      </c>
    </row>
    <row r="70" spans="1:3">
      <c r="A70" s="26" t="str">
        <f>'My trades'!A70</f>
        <v>jarhgmub</v>
      </c>
      <c r="B70" s="26">
        <f>'My trades'!G70-'My trades'!D70</f>
        <v>88</v>
      </c>
      <c r="C70" s="31">
        <f>('My trades'!H70-'My trades'!F70)*'My trades'!E70</f>
        <v>0.4358493707488762</v>
      </c>
    </row>
    <row r="71" spans="1:3">
      <c r="A71" s="26" t="str">
        <f>'My trades'!A71</f>
        <v>jgrpnvil</v>
      </c>
      <c r="B71" s="26">
        <f>'My trades'!G71-'My trades'!D71</f>
        <v>467</v>
      </c>
      <c r="C71" s="31">
        <f>('My trades'!H71-'My trades'!F71)*'My trades'!E71</f>
        <v>0.470060188958903</v>
      </c>
    </row>
    <row r="72" spans="1:3">
      <c r="A72" s="26" t="str">
        <f>'My trades'!A72</f>
        <v>jhrvrggo</v>
      </c>
      <c r="B72" s="26">
        <f>'My trades'!G72-'My trades'!D72</f>
        <v>222</v>
      </c>
      <c r="C72" s="31">
        <f>('My trades'!H72-'My trades'!F72)*'My trades'!E72</f>
        <v>7.8785100953612991E-2</v>
      </c>
    </row>
    <row r="73" spans="1:3">
      <c r="A73" s="26" t="str">
        <f>'My trades'!A73</f>
        <v>jszxcuxx</v>
      </c>
      <c r="B73" s="26">
        <f>'My trades'!G73-'My trades'!D73</f>
        <v>244</v>
      </c>
      <c r="C73" s="31">
        <f>('My trades'!H73-'My trades'!F73)*'My trades'!E73</f>
        <v>6.7107767243110796</v>
      </c>
    </row>
    <row r="74" spans="1:3">
      <c r="A74" s="26" t="str">
        <f>'My trades'!A74</f>
        <v>jvcllvko</v>
      </c>
      <c r="B74" s="26">
        <f>'My trades'!G74-'My trades'!D74</f>
        <v>310</v>
      </c>
      <c r="C74" s="31">
        <f>('My trades'!H74-'My trades'!F74)*'My trades'!E74</f>
        <v>-1.3307948236361038</v>
      </c>
    </row>
    <row r="75" spans="1:3">
      <c r="A75" s="26" t="str">
        <f>'My trades'!A75</f>
        <v>jxgqnvpx</v>
      </c>
      <c r="B75" s="26">
        <f>'My trades'!G75-'My trades'!D75</f>
        <v>510</v>
      </c>
      <c r="C75" s="31">
        <f>('My trades'!H75-'My trades'!F75)*'My trades'!E75</f>
        <v>3.6786823427516997</v>
      </c>
    </row>
    <row r="76" spans="1:3">
      <c r="A76" s="26" t="str">
        <f>'My trades'!A76</f>
        <v>jyrrbwon</v>
      </c>
      <c r="B76" s="26">
        <f>'My trades'!G76-'My trades'!D76</f>
        <v>294</v>
      </c>
      <c r="C76" s="31">
        <f>('My trades'!H76-'My trades'!F76)*'My trades'!E76</f>
        <v>-0.147372694291836</v>
      </c>
    </row>
    <row r="77" spans="1:3">
      <c r="A77" s="26" t="str">
        <f>'My trades'!A77</f>
        <v>kcqqvvon</v>
      </c>
      <c r="B77" s="26">
        <f>'My trades'!G77-'My trades'!D77</f>
        <v>229</v>
      </c>
      <c r="C77" s="31">
        <f>('My trades'!H77-'My trades'!F77)*'My trades'!E77</f>
        <v>-2.1369087276919081</v>
      </c>
    </row>
    <row r="78" spans="1:3">
      <c r="A78" s="26" t="str">
        <f>'My trades'!A78</f>
        <v>kdxpqsjj</v>
      </c>
      <c r="B78" s="26">
        <f>'My trades'!G78-'My trades'!D78</f>
        <v>568</v>
      </c>
      <c r="C78" s="31">
        <f>('My trades'!H78-'My trades'!F78)*'My trades'!E78</f>
        <v>-1.6126856601637303</v>
      </c>
    </row>
    <row r="79" spans="1:3">
      <c r="A79" s="26" t="str">
        <f>'My trades'!A79</f>
        <v>kltxxoqv</v>
      </c>
      <c r="B79" s="26">
        <f>'My trades'!G79-'My trades'!D79</f>
        <v>682</v>
      </c>
      <c r="C79" s="31">
        <f>('My trades'!H79-'My trades'!F79)*'My trades'!E79</f>
        <v>-2.6177536356825777</v>
      </c>
    </row>
    <row r="80" spans="1:3">
      <c r="A80" s="26" t="str">
        <f>'My trades'!A80</f>
        <v>kmlcsefq</v>
      </c>
      <c r="B80" s="26">
        <f>'My trades'!G80-'My trades'!D80</f>
        <v>199</v>
      </c>
      <c r="C80" s="31">
        <f>('My trades'!H80-'My trades'!F80)*'My trades'!E80</f>
        <v>-0.20085805852064986</v>
      </c>
    </row>
    <row r="81" spans="1:3">
      <c r="A81" s="26" t="str">
        <f>'My trades'!A81</f>
        <v>knifvikn</v>
      </c>
      <c r="B81" s="26">
        <f>'My trades'!G81-'My trades'!D81</f>
        <v>714</v>
      </c>
      <c r="C81" s="31">
        <f>('My trades'!H81-'My trades'!F81)*'My trades'!E81</f>
        <v>0.62501571139692591</v>
      </c>
    </row>
    <row r="82" spans="1:3">
      <c r="A82" s="26" t="str">
        <f>'My trades'!A82</f>
        <v>knrhgdai</v>
      </c>
      <c r="B82" s="26">
        <f>'My trades'!G82-'My trades'!D82</f>
        <v>407</v>
      </c>
      <c r="C82" s="31">
        <f>('My trades'!H82-'My trades'!F82)*'My trades'!E82</f>
        <v>-0.37735846191132916</v>
      </c>
    </row>
    <row r="83" spans="1:3">
      <c r="A83" s="26" t="str">
        <f>'My trades'!A83</f>
        <v>koqfbdwf</v>
      </c>
      <c r="B83" s="26">
        <f>'My trades'!G83-'My trades'!D83</f>
        <v>722</v>
      </c>
      <c r="C83" s="31">
        <f>('My trades'!H83-'My trades'!F83)*'My trades'!E83</f>
        <v>1.3298450652868796</v>
      </c>
    </row>
    <row r="84" spans="1:3">
      <c r="A84" s="26" t="str">
        <f>'My trades'!A84</f>
        <v>kpoujdyl</v>
      </c>
      <c r="B84" s="26">
        <f>'My trades'!G84-'My trades'!D84</f>
        <v>351</v>
      </c>
      <c r="C84" s="31">
        <f>('My trades'!H84-'My trades'!F84)*'My trades'!E84</f>
        <v>0.12174590279516</v>
      </c>
    </row>
    <row r="85" spans="1:3">
      <c r="A85" s="26" t="str">
        <f>'My trades'!A85</f>
        <v>kqbdcljv</v>
      </c>
      <c r="B85" s="26">
        <f>'My trades'!G85-'My trades'!D85</f>
        <v>212</v>
      </c>
      <c r="C85" s="31">
        <f>('My trades'!H85-'My trades'!F85)*'My trades'!E85</f>
        <v>1.3297794837764578</v>
      </c>
    </row>
    <row r="86" spans="1:3">
      <c r="A86" s="26" t="str">
        <f>'My trades'!A86</f>
        <v>krqkwnaw</v>
      </c>
      <c r="B86" s="26">
        <f>'My trades'!G86-'My trades'!D86</f>
        <v>397</v>
      </c>
      <c r="C86" s="31">
        <f>('My trades'!H86-'My trades'!F86)*'My trades'!E86</f>
        <v>-0.20186197918953602</v>
      </c>
    </row>
    <row r="87" spans="1:3">
      <c r="A87" s="26" t="str">
        <f>'My trades'!A87</f>
        <v>kwbxqlin</v>
      </c>
      <c r="B87" s="26">
        <f>'My trades'!G87-'My trades'!D87</f>
        <v>207</v>
      </c>
      <c r="C87" s="31">
        <f>('My trades'!H87-'My trades'!F87)*'My trades'!E87</f>
        <v>5.5166451515307351</v>
      </c>
    </row>
    <row r="88" spans="1:3">
      <c r="A88" s="26" t="str">
        <f>'My trades'!A88</f>
        <v>kweyaukr</v>
      </c>
      <c r="B88" s="26">
        <f>'My trades'!G88-'My trades'!D88</f>
        <v>433</v>
      </c>
      <c r="C88" s="31">
        <f>('My trades'!H88-'My trades'!F88)*'My trades'!E88</f>
        <v>0.4542755046532776</v>
      </c>
    </row>
    <row r="89" spans="1:3">
      <c r="A89" s="26" t="str">
        <f>'My trades'!A89</f>
        <v>ldjllwvy</v>
      </c>
      <c r="B89" s="26">
        <f>'My trades'!G89-'My trades'!D89</f>
        <v>728</v>
      </c>
      <c r="C89" s="31">
        <f>('My trades'!H89-'My trades'!F89)*'My trades'!E89</f>
        <v>-0.57964845503028029</v>
      </c>
    </row>
    <row r="90" spans="1:3">
      <c r="A90" s="26" t="str">
        <f>'My trades'!A90</f>
        <v>lenpuaop</v>
      </c>
      <c r="B90" s="26">
        <f>'My trades'!G90-'My trades'!D90</f>
        <v>771</v>
      </c>
      <c r="C90" s="31">
        <f>('My trades'!H90-'My trades'!F90)*'My trades'!E90</f>
        <v>0.8764495480595611</v>
      </c>
    </row>
    <row r="91" spans="1:3">
      <c r="A91" s="26" t="str">
        <f>'My trades'!A91</f>
        <v>lkxgzzvq</v>
      </c>
      <c r="B91" s="26">
        <f>'My trades'!G91-'My trades'!D91</f>
        <v>747</v>
      </c>
      <c r="C91" s="31">
        <f>('My trades'!H91-'My trades'!F91)*'My trades'!E91</f>
        <v>1.0089173340834001</v>
      </c>
    </row>
    <row r="92" spans="1:3">
      <c r="A92" s="26" t="str">
        <f>'My trades'!A92</f>
        <v>loffykcg</v>
      </c>
      <c r="B92" s="26">
        <f>'My trades'!G92-'My trades'!D92</f>
        <v>751</v>
      </c>
      <c r="C92" s="31">
        <f>('My trades'!H92-'My trades'!F92)*'My trades'!E92</f>
        <v>-0.89242284784400605</v>
      </c>
    </row>
    <row r="93" spans="1:3">
      <c r="A93" s="26" t="str">
        <f>'My trades'!A93</f>
        <v>lpzjhtkm</v>
      </c>
      <c r="B93" s="26">
        <f>'My trades'!G93-'My trades'!D93</f>
        <v>436</v>
      </c>
      <c r="C93" s="31">
        <f>('My trades'!H93-'My trades'!F93)*'My trades'!E93</f>
        <v>1.7071996658142359</v>
      </c>
    </row>
    <row r="94" spans="1:3">
      <c r="A94" s="26" t="str">
        <f>'My trades'!A94</f>
        <v>maizvkuo</v>
      </c>
      <c r="B94" s="26">
        <f>'My trades'!G94-'My trades'!D94</f>
        <v>609</v>
      </c>
      <c r="C94" s="31">
        <f>('My trades'!H94-'My trades'!F94)*'My trades'!E94</f>
        <v>5.9739185775797843E-4</v>
      </c>
    </row>
    <row r="95" spans="1:3">
      <c r="A95" s="26" t="str">
        <f>'My trades'!A95</f>
        <v>mfdlyjqb</v>
      </c>
      <c r="B95" s="26">
        <f>'My trades'!G95-'My trades'!D95</f>
        <v>758</v>
      </c>
      <c r="C95" s="31">
        <f>('My trades'!H95-'My trades'!F95)*'My trades'!E95</f>
        <v>-0.44170898255380009</v>
      </c>
    </row>
    <row r="96" spans="1:3">
      <c r="A96" s="26" t="str">
        <f>'My trades'!A96</f>
        <v>mfwvjgje</v>
      </c>
      <c r="B96" s="26">
        <f>'My trades'!G96-'My trades'!D96</f>
        <v>780</v>
      </c>
      <c r="C96" s="31">
        <f>('My trades'!H96-'My trades'!F96)*'My trades'!E96</f>
        <v>-0.596471375813306</v>
      </c>
    </row>
    <row r="97" spans="1:3">
      <c r="A97" s="26" t="str">
        <f>'My trades'!A97</f>
        <v>mghfyjbr</v>
      </c>
      <c r="B97" s="26">
        <f>'My trades'!G97-'My trades'!D97</f>
        <v>241</v>
      </c>
      <c r="C97" s="31">
        <f>('My trades'!H97-'My trades'!F97)*'My trades'!E97</f>
        <v>-1.5146400479562974</v>
      </c>
    </row>
    <row r="98" spans="1:3">
      <c r="A98" s="26" t="str">
        <f>'My trades'!A98</f>
        <v>mjbwcafl</v>
      </c>
      <c r="B98" s="26">
        <f>'My trades'!G98-'My trades'!D98</f>
        <v>615</v>
      </c>
      <c r="C98" s="31">
        <f>('My trades'!H98-'My trades'!F98)*'My trades'!E98</f>
        <v>-1.493851455533969</v>
      </c>
    </row>
    <row r="99" spans="1:3">
      <c r="A99" s="26" t="str">
        <f>'My trades'!A99</f>
        <v>mjyuxzvj</v>
      </c>
      <c r="B99" s="26">
        <f>'My trades'!G99-'My trades'!D99</f>
        <v>576</v>
      </c>
      <c r="C99" s="31">
        <f>('My trades'!H99-'My trades'!F99)*'My trades'!E99</f>
        <v>0.151434489277396</v>
      </c>
    </row>
    <row r="100" spans="1:3">
      <c r="A100" s="26" t="str">
        <f>'My trades'!A100</f>
        <v>mkxkerbr</v>
      </c>
      <c r="B100" s="26">
        <f>'My trades'!G100-'My trades'!D100</f>
        <v>418</v>
      </c>
      <c r="C100" s="31">
        <f>('My trades'!H100-'My trades'!F100)*'My trades'!E100</f>
        <v>-4.8620707049910061E-2</v>
      </c>
    </row>
    <row r="101" spans="1:3">
      <c r="A101" s="26" t="str">
        <f>'My trades'!A101</f>
        <v>mxmztjnk</v>
      </c>
      <c r="B101" s="26">
        <f>'My trades'!G101-'My trades'!D101</f>
        <v>57</v>
      </c>
      <c r="C101" s="31">
        <f>('My trades'!H101-'My trades'!F101)*'My trades'!E101</f>
        <v>1.1022958217852696</v>
      </c>
    </row>
    <row r="102" spans="1:3">
      <c r="A102" s="26" t="str">
        <f>'My trades'!A102</f>
        <v>mxpzparg</v>
      </c>
      <c r="B102" s="26">
        <f>'My trades'!G102-'My trades'!D102</f>
        <v>494</v>
      </c>
      <c r="C102" s="31">
        <f>('My trades'!H102-'My trades'!F102)*'My trades'!E102</f>
        <v>-2.7225392516182776</v>
      </c>
    </row>
    <row r="103" spans="1:3">
      <c r="A103" s="26" t="str">
        <f>'My trades'!A103</f>
        <v>nheepbxg</v>
      </c>
      <c r="B103" s="26">
        <f>'My trades'!G103-'My trades'!D103</f>
        <v>69</v>
      </c>
      <c r="C103" s="31">
        <f>('My trades'!H103-'My trades'!F103)*'My trades'!E103</f>
        <v>-2.6947242268262701</v>
      </c>
    </row>
    <row r="104" spans="1:3">
      <c r="A104" s="26" t="str">
        <f>'My trades'!A104</f>
        <v>njxhycea</v>
      </c>
      <c r="B104" s="26">
        <f>'My trades'!G104-'My trades'!D104</f>
        <v>396</v>
      </c>
      <c r="C104" s="31">
        <f>('My trades'!H104-'My trades'!F104)*'My trades'!E104</f>
        <v>3.3086654370845152</v>
      </c>
    </row>
    <row r="105" spans="1:3">
      <c r="A105" s="26" t="str">
        <f>'My trades'!A105</f>
        <v>nklszbdc</v>
      </c>
      <c r="B105" s="26">
        <f>'My trades'!G105-'My trades'!D105</f>
        <v>392</v>
      </c>
      <c r="C105" s="31">
        <f>('My trades'!H105-'My trades'!F105)*'My trades'!E105</f>
        <v>-5.0818807518380593</v>
      </c>
    </row>
    <row r="106" spans="1:3">
      <c r="A106" s="26" t="str">
        <f>'My trades'!A106</f>
        <v>nqgoiuik</v>
      </c>
      <c r="B106" s="26">
        <f>'My trades'!G106-'My trades'!D106</f>
        <v>795</v>
      </c>
      <c r="C106" s="31">
        <f>('My trades'!H106-'My trades'!F106)*'My trades'!E106</f>
        <v>0.35090031939170097</v>
      </c>
    </row>
    <row r="107" spans="1:3">
      <c r="A107" s="26" t="str">
        <f>'My trades'!A107</f>
        <v>nriklgrf</v>
      </c>
      <c r="B107" s="26">
        <f>'My trades'!G107-'My trades'!D107</f>
        <v>623</v>
      </c>
      <c r="C107" s="31">
        <f>('My trades'!H107-'My trades'!F107)*'My trades'!E107</f>
        <v>-1.7681553669948498</v>
      </c>
    </row>
    <row r="108" spans="1:3">
      <c r="A108" s="26" t="str">
        <f>'My trades'!A108</f>
        <v>nuleyiit</v>
      </c>
      <c r="B108" s="26">
        <f>'My trades'!G108-'My trades'!D108</f>
        <v>126</v>
      </c>
      <c r="C108" s="31">
        <f>('My trades'!H108-'My trades'!F108)*'My trades'!E108</f>
        <v>2.067388635922967</v>
      </c>
    </row>
    <row r="109" spans="1:3">
      <c r="A109" s="26" t="str">
        <f>'My trades'!A109</f>
        <v>nzyednpn</v>
      </c>
      <c r="B109" s="26">
        <f>'My trades'!G109-'My trades'!D109</f>
        <v>163</v>
      </c>
      <c r="C109" s="31">
        <f>('My trades'!H109-'My trades'!F109)*'My trades'!E109</f>
        <v>4.3623326726628289</v>
      </c>
    </row>
    <row r="110" spans="1:3">
      <c r="A110" s="26" t="str">
        <f>'My trades'!A110</f>
        <v>ogszgnpm</v>
      </c>
      <c r="B110" s="26">
        <f>'My trades'!G110-'My trades'!D110</f>
        <v>242</v>
      </c>
      <c r="C110" s="31">
        <f>('My trades'!H110-'My trades'!F110)*'My trades'!E110</f>
        <v>0.18643050150905299</v>
      </c>
    </row>
    <row r="111" spans="1:3">
      <c r="A111" s="26" t="str">
        <f>'My trades'!A111</f>
        <v>ohtzxhrm</v>
      </c>
      <c r="B111" s="26">
        <f>'My trades'!G111-'My trades'!D111</f>
        <v>791</v>
      </c>
      <c r="C111" s="31">
        <f>('My trades'!H111-'My trades'!F111)*'My trades'!E111</f>
        <v>-3.196256783170444</v>
      </c>
    </row>
    <row r="112" spans="1:3">
      <c r="A112" s="26" t="str">
        <f>'My trades'!A112</f>
        <v>olnjegug</v>
      </c>
      <c r="B112" s="26">
        <f>'My trades'!G112-'My trades'!D112</f>
        <v>271</v>
      </c>
      <c r="C112" s="31">
        <f>('My trades'!H112-'My trades'!F112)*'My trades'!E112</f>
        <v>-2.2984402212260577</v>
      </c>
    </row>
    <row r="113" spans="1:3">
      <c r="A113" s="26" t="str">
        <f>'My trades'!A113</f>
        <v>oplgqwal</v>
      </c>
      <c r="B113" s="26">
        <f>'My trades'!G113-'My trades'!D113</f>
        <v>42</v>
      </c>
      <c r="C113" s="31">
        <f>('My trades'!H113-'My trades'!F113)*'My trades'!E113</f>
        <v>-6.4196120465471962</v>
      </c>
    </row>
    <row r="114" spans="1:3">
      <c r="A114" s="26" t="str">
        <f>'My trades'!A114</f>
        <v>orgnwenh</v>
      </c>
      <c r="B114" s="26">
        <f>'My trades'!G114-'My trades'!D114</f>
        <v>375</v>
      </c>
      <c r="C114" s="31">
        <f>('My trades'!H114-'My trades'!F114)*'My trades'!E114</f>
        <v>0.51729142881164603</v>
      </c>
    </row>
    <row r="115" spans="1:3">
      <c r="A115" s="26" t="str">
        <f>'My trades'!A115</f>
        <v>ossshndu</v>
      </c>
      <c r="B115" s="26">
        <f>'My trades'!G115-'My trades'!D115</f>
        <v>715</v>
      </c>
      <c r="C115" s="31">
        <f>('My trades'!H115-'My trades'!F115)*'My trades'!E115</f>
        <v>-4.208624827664635</v>
      </c>
    </row>
    <row r="116" spans="1:3">
      <c r="A116" s="26" t="str">
        <f>'My trades'!A116</f>
        <v>pberstsl</v>
      </c>
      <c r="B116" s="26">
        <f>'My trades'!G116-'My trades'!D116</f>
        <v>534</v>
      </c>
      <c r="C116" s="31">
        <f>('My trades'!H116-'My trades'!F116)*'My trades'!E116</f>
        <v>-0.24632205548731403</v>
      </c>
    </row>
    <row r="117" spans="1:3">
      <c r="A117" s="26" t="str">
        <f>'My trades'!A117</f>
        <v>pcifviip</v>
      </c>
      <c r="B117" s="26">
        <f>'My trades'!G117-'My trades'!D117</f>
        <v>417</v>
      </c>
      <c r="C117" s="31">
        <f>('My trades'!H117-'My trades'!F117)*'My trades'!E117</f>
        <v>-3.0400181772773198</v>
      </c>
    </row>
    <row r="118" spans="1:3">
      <c r="A118" s="26" t="str">
        <f>'My trades'!A118</f>
        <v>pnsxdhqo</v>
      </c>
      <c r="B118" s="26">
        <f>'My trades'!G118-'My trades'!D118</f>
        <v>361</v>
      </c>
      <c r="C118" s="31">
        <f>('My trades'!H118-'My trades'!F118)*'My trades'!E118</f>
        <v>-0.14332616076687998</v>
      </c>
    </row>
    <row r="119" spans="1:3">
      <c r="A119" s="26" t="str">
        <f>'My trades'!A119</f>
        <v>poohpdwc</v>
      </c>
      <c r="B119" s="26">
        <f>'My trades'!G119-'My trades'!D119</f>
        <v>308</v>
      </c>
      <c r="C119" s="31">
        <f>('My trades'!H119-'My trades'!F119)*'My trades'!E119</f>
        <v>-3.6237978366431691</v>
      </c>
    </row>
    <row r="120" spans="1:3">
      <c r="A120" s="26" t="str">
        <f>'My trades'!A120</f>
        <v>pswtoazn</v>
      </c>
      <c r="B120" s="26">
        <f>'My trades'!G120-'My trades'!D120</f>
        <v>184</v>
      </c>
      <c r="C120" s="31">
        <f>('My trades'!H120-'My trades'!F120)*'My trades'!E120</f>
        <v>-0.62322748967309327</v>
      </c>
    </row>
    <row r="121" spans="1:3">
      <c r="A121" s="26" t="str">
        <f>'My trades'!A121</f>
        <v>pxkjcmpp</v>
      </c>
      <c r="B121" s="26">
        <f>'My trades'!G121-'My trades'!D121</f>
        <v>445</v>
      </c>
      <c r="C121" s="31">
        <f>('My trades'!H121-'My trades'!F121)*'My trades'!E121</f>
        <v>1.046745383891124</v>
      </c>
    </row>
    <row r="122" spans="1:3">
      <c r="A122" s="26" t="str">
        <f>'My trades'!A122</f>
        <v>pxzcvvvv</v>
      </c>
      <c r="B122" s="26">
        <f>'My trades'!G122-'My trades'!D122</f>
        <v>248</v>
      </c>
      <c r="C122" s="31">
        <f>('My trades'!H122-'My trades'!F122)*'My trades'!E122</f>
        <v>1.3697860970959921</v>
      </c>
    </row>
    <row r="123" spans="1:3">
      <c r="A123" s="26" t="str">
        <f>'My trades'!A123</f>
        <v>pyljmfku</v>
      </c>
      <c r="B123" s="26">
        <f>'My trades'!G123-'My trades'!D123</f>
        <v>58</v>
      </c>
      <c r="C123" s="31">
        <f>('My trades'!H123-'My trades'!F123)*'My trades'!E123</f>
        <v>-3.7137817771547201</v>
      </c>
    </row>
    <row r="124" spans="1:3">
      <c r="A124" s="26" t="str">
        <f>'My trades'!A124</f>
        <v>pysaclod</v>
      </c>
      <c r="B124" s="26">
        <f>'My trades'!G124-'My trades'!D124</f>
        <v>604</v>
      </c>
      <c r="C124" s="31">
        <f>('My trades'!H124-'My trades'!F124)*'My trades'!E124</f>
        <v>-2.5501255421604032</v>
      </c>
    </row>
    <row r="125" spans="1:3">
      <c r="A125" s="26" t="str">
        <f>'My trades'!A125</f>
        <v>pywztrno</v>
      </c>
      <c r="B125" s="26">
        <f>'My trades'!G125-'My trades'!D125</f>
        <v>175</v>
      </c>
      <c r="C125" s="31">
        <f>('My trades'!H125-'My trades'!F125)*'My trades'!E125</f>
        <v>-0.51703471594803296</v>
      </c>
    </row>
    <row r="126" spans="1:3">
      <c r="A126" s="26" t="str">
        <f>'My trades'!A126</f>
        <v>qdqbwhng</v>
      </c>
      <c r="B126" s="26">
        <f>'My trades'!G126-'My trades'!D126</f>
        <v>741</v>
      </c>
      <c r="C126" s="31">
        <f>('My trades'!H126-'My trades'!F126)*'My trades'!E126</f>
        <v>2.6392607993331589</v>
      </c>
    </row>
    <row r="127" spans="1:3">
      <c r="A127" s="26" t="str">
        <f>'My trades'!A127</f>
        <v>qexyofhb</v>
      </c>
      <c r="B127" s="26">
        <f>'My trades'!G127-'My trades'!D127</f>
        <v>152</v>
      </c>
      <c r="C127" s="31">
        <f>('My trades'!H127-'My trades'!F127)*'My trades'!E127</f>
        <v>-0.54187348945221592</v>
      </c>
    </row>
    <row r="128" spans="1:3">
      <c r="A128" s="26" t="str">
        <f>'My trades'!A128</f>
        <v>qhprzdnb</v>
      </c>
      <c r="B128" s="26">
        <f>'My trades'!G128-'My trades'!D128</f>
        <v>610</v>
      </c>
      <c r="C128" s="31">
        <f>('My trades'!H128-'My trades'!F128)*'My trades'!E128</f>
        <v>0.50582577866602796</v>
      </c>
    </row>
    <row r="129" spans="1:3">
      <c r="A129" s="26" t="str">
        <f>'My trades'!A129</f>
        <v>qklyndfp</v>
      </c>
      <c r="B129" s="26">
        <f>'My trades'!G129-'My trades'!D129</f>
        <v>406</v>
      </c>
      <c r="C129" s="31">
        <f>('My trades'!H129-'My trades'!F129)*'My trades'!E129</f>
        <v>-0.99109056785185001</v>
      </c>
    </row>
    <row r="130" spans="1:3">
      <c r="A130" s="26" t="str">
        <f>'My trades'!A130</f>
        <v>qonnwndv</v>
      </c>
      <c r="B130" s="26">
        <f>'My trades'!G130-'My trades'!D130</f>
        <v>756</v>
      </c>
      <c r="C130" s="31">
        <f>('My trades'!H130-'My trades'!F130)*'My trades'!E130</f>
        <v>0.58689550890769993</v>
      </c>
    </row>
    <row r="131" spans="1:3">
      <c r="A131" s="26" t="str">
        <f>'My trades'!A131</f>
        <v>rcmrnpig</v>
      </c>
      <c r="B131" s="26">
        <f>'My trades'!G131-'My trades'!D131</f>
        <v>818</v>
      </c>
      <c r="C131" s="31">
        <f>('My trades'!H131-'My trades'!F131)*'My trades'!E131</f>
        <v>7.1721763351570438</v>
      </c>
    </row>
    <row r="132" spans="1:3">
      <c r="A132" s="26" t="str">
        <f>'My trades'!A132</f>
        <v>rfngluke</v>
      </c>
      <c r="B132" s="26">
        <f>'My trades'!G132-'My trades'!D132</f>
        <v>329</v>
      </c>
      <c r="C132" s="31">
        <f>('My trades'!H132-'My trades'!F132)*'My trades'!E132</f>
        <v>0.40669450199158963</v>
      </c>
    </row>
    <row r="133" spans="1:3">
      <c r="A133" s="26" t="str">
        <f>'My trades'!A133</f>
        <v>rgbcrwet</v>
      </c>
      <c r="B133" s="26">
        <f>'My trades'!G133-'My trades'!D133</f>
        <v>669</v>
      </c>
      <c r="C133" s="31">
        <f>('My trades'!H133-'My trades'!F133)*'My trades'!E133</f>
        <v>-1.731860524005312</v>
      </c>
    </row>
    <row r="134" spans="1:3">
      <c r="A134" s="26" t="str">
        <f>'My trades'!A134</f>
        <v>rkupdsbn</v>
      </c>
      <c r="B134" s="26">
        <f>'My trades'!G134-'My trades'!D134</f>
        <v>694</v>
      </c>
      <c r="C134" s="31">
        <f>('My trades'!H134-'My trades'!F134)*'My trades'!E134</f>
        <v>-0.22406139606151998</v>
      </c>
    </row>
    <row r="135" spans="1:3">
      <c r="A135" s="26" t="str">
        <f>'My trades'!A135</f>
        <v>rxbzlipl</v>
      </c>
      <c r="B135" s="26">
        <f>'My trades'!G135-'My trades'!D135</f>
        <v>301</v>
      </c>
      <c r="C135" s="31">
        <f>('My trades'!H135-'My trades'!F135)*'My trades'!E135</f>
        <v>-0.57815918275795197</v>
      </c>
    </row>
    <row r="136" spans="1:3">
      <c r="A136" s="26" t="str">
        <f>'My trades'!A136</f>
        <v>rypujago</v>
      </c>
      <c r="B136" s="26">
        <f>'My trades'!G136-'My trades'!D136</f>
        <v>756</v>
      </c>
      <c r="C136" s="31">
        <f>('My trades'!H136-'My trades'!F136)*'My trades'!E136</f>
        <v>-0.10408160445723602</v>
      </c>
    </row>
    <row r="137" spans="1:3">
      <c r="A137" s="26" t="str">
        <f>'My trades'!A137</f>
        <v>scoljxeg</v>
      </c>
      <c r="B137" s="26">
        <f>'My trades'!G137-'My trades'!D137</f>
        <v>581</v>
      </c>
      <c r="C137" s="31">
        <f>('My trades'!H137-'My trades'!F137)*'My trades'!E137</f>
        <v>5.4257262128768344</v>
      </c>
    </row>
    <row r="138" spans="1:3">
      <c r="A138" s="26" t="str">
        <f>'My trades'!A138</f>
        <v>seaeoiib</v>
      </c>
      <c r="B138" s="26">
        <f>'My trades'!G138-'My trades'!D138</f>
        <v>169</v>
      </c>
      <c r="C138" s="31">
        <f>('My trades'!H138-'My trades'!F138)*'My trades'!E138</f>
        <v>-1.3524579839278259</v>
      </c>
    </row>
    <row r="139" spans="1:3">
      <c r="A139" s="26" t="str">
        <f>'My trades'!A139</f>
        <v>sejklwar</v>
      </c>
      <c r="B139" s="26">
        <f>'My trades'!G139-'My trades'!D139</f>
        <v>469</v>
      </c>
      <c r="C139" s="31">
        <f>('My trades'!H139-'My trades'!F139)*'My trades'!E139</f>
        <v>2.6056907203952058</v>
      </c>
    </row>
    <row r="140" spans="1:3">
      <c r="A140" s="26" t="str">
        <f>'My trades'!A140</f>
        <v>seszlhqz</v>
      </c>
      <c r="B140" s="26">
        <f>'My trades'!G140-'My trades'!D140</f>
        <v>146</v>
      </c>
      <c r="C140" s="31">
        <f>('My trades'!H140-'My trades'!F140)*'My trades'!E140</f>
        <v>0.82192099893295789</v>
      </c>
    </row>
    <row r="141" spans="1:3">
      <c r="A141" s="26" t="str">
        <f>'My trades'!A141</f>
        <v>sgdkuekd</v>
      </c>
      <c r="B141" s="26">
        <f>'My trades'!G141-'My trades'!D141</f>
        <v>292</v>
      </c>
      <c r="C141" s="31">
        <f>('My trades'!H141-'My trades'!F141)*'My trades'!E141</f>
        <v>-2.7793845987997785</v>
      </c>
    </row>
    <row r="142" spans="1:3">
      <c r="A142" s="26" t="str">
        <f>'My trades'!A142</f>
        <v>slqawwyu</v>
      </c>
      <c r="B142" s="26">
        <f>'My trades'!G142-'My trades'!D142</f>
        <v>539</v>
      </c>
      <c r="C142" s="31">
        <f>('My trades'!H142-'My trades'!F142)*'My trades'!E142</f>
        <v>0.50049929284137207</v>
      </c>
    </row>
    <row r="143" spans="1:3">
      <c r="A143" s="26" t="str">
        <f>'My trades'!A143</f>
        <v>stsjuvrd</v>
      </c>
      <c r="B143" s="26">
        <f>'My trades'!G143-'My trades'!D143</f>
        <v>244</v>
      </c>
      <c r="C143" s="31">
        <f>('My trades'!H143-'My trades'!F143)*'My trades'!E143</f>
        <v>-2.0739923578695802</v>
      </c>
    </row>
    <row r="144" spans="1:3">
      <c r="A144" s="26" t="str">
        <f>'My trades'!A144</f>
        <v>tazccemg</v>
      </c>
      <c r="B144" s="26">
        <f>'My trades'!G144-'My trades'!D144</f>
        <v>806</v>
      </c>
      <c r="C144" s="31">
        <f>('My trades'!H144-'My trades'!F144)*'My trades'!E144</f>
        <v>-0.2484879527768751</v>
      </c>
    </row>
    <row r="145" spans="1:3">
      <c r="A145" s="26" t="str">
        <f>'My trades'!A145</f>
        <v>tgayvhvz</v>
      </c>
      <c r="B145" s="26">
        <f>'My trades'!G145-'My trades'!D145</f>
        <v>123</v>
      </c>
      <c r="C145" s="31">
        <f>('My trades'!H145-'My trades'!F145)*'My trades'!E145</f>
        <v>0.63398606507953736</v>
      </c>
    </row>
    <row r="146" spans="1:3">
      <c r="A146" s="26" t="str">
        <f>'My trades'!A146</f>
        <v>tiebtpqq</v>
      </c>
      <c r="B146" s="26">
        <f>'My trades'!G146-'My trades'!D146</f>
        <v>566</v>
      </c>
      <c r="C146" s="31">
        <f>('My trades'!H146-'My trades'!F146)*'My trades'!E146</f>
        <v>0.67037100617501189</v>
      </c>
    </row>
    <row r="147" spans="1:3">
      <c r="A147" s="26" t="str">
        <f>'My trades'!A147</f>
        <v>tjtyuhoi</v>
      </c>
      <c r="B147" s="26">
        <f>'My trades'!G147-'My trades'!D147</f>
        <v>307</v>
      </c>
      <c r="C147" s="31">
        <f>('My trades'!H147-'My trades'!F147)*'My trades'!E147</f>
        <v>4.4587290504929902</v>
      </c>
    </row>
    <row r="148" spans="1:3">
      <c r="A148" s="26" t="str">
        <f>'My trades'!A148</f>
        <v>tsmbtvip</v>
      </c>
      <c r="B148" s="26">
        <f>'My trades'!G148-'My trades'!D148</f>
        <v>456</v>
      </c>
      <c r="C148" s="31">
        <f>('My trades'!H148-'My trades'!F148)*'My trades'!E148</f>
        <v>-4.196142457933874</v>
      </c>
    </row>
    <row r="149" spans="1:3">
      <c r="A149" s="26" t="str">
        <f>'My trades'!A149</f>
        <v>tsrjnkjg</v>
      </c>
      <c r="B149" s="26">
        <f>'My trades'!G149-'My trades'!D149</f>
        <v>410</v>
      </c>
      <c r="C149" s="31">
        <f>('My trades'!H149-'My trades'!F149)*'My trades'!E149</f>
        <v>0.30343950901873695</v>
      </c>
    </row>
    <row r="150" spans="1:3">
      <c r="A150" s="26" t="str">
        <f>'My trades'!A150</f>
        <v>ttxgpfqy</v>
      </c>
      <c r="B150" s="26">
        <f>'My trades'!G150-'My trades'!D150</f>
        <v>376</v>
      </c>
      <c r="C150" s="31">
        <f>('My trades'!H150-'My trades'!F150)*'My trades'!E150</f>
        <v>-1.2073753528529019E-2</v>
      </c>
    </row>
    <row r="151" spans="1:3">
      <c r="A151" s="26" t="str">
        <f>'My trades'!A151</f>
        <v>tuneagik</v>
      </c>
      <c r="B151" s="26">
        <f>'My trades'!G151-'My trades'!D151</f>
        <v>260</v>
      </c>
      <c r="C151" s="31">
        <f>('My trades'!H151-'My trades'!F151)*'My trades'!E151</f>
        <v>1.9280117647976935E-2</v>
      </c>
    </row>
    <row r="152" spans="1:3">
      <c r="A152" s="26" t="str">
        <f>'My trades'!A152</f>
        <v>twxakkhn</v>
      </c>
      <c r="B152" s="26">
        <f>'My trades'!G152-'My trades'!D152</f>
        <v>87</v>
      </c>
      <c r="C152" s="31">
        <f>('My trades'!H152-'My trades'!F152)*'My trades'!E152</f>
        <v>2.3327160226114847</v>
      </c>
    </row>
    <row r="153" spans="1:3">
      <c r="A153" s="26" t="str">
        <f>'My trades'!A153</f>
        <v>txuwmhfn</v>
      </c>
      <c r="B153" s="26">
        <f>'My trades'!G153-'My trades'!D153</f>
        <v>379</v>
      </c>
      <c r="C153" s="31">
        <f>('My trades'!H153-'My trades'!F153)*'My trades'!E153</f>
        <v>-0.45102302077523904</v>
      </c>
    </row>
    <row r="154" spans="1:3">
      <c r="A154" s="26" t="str">
        <f>'My trades'!A154</f>
        <v>tyoavqhc</v>
      </c>
      <c r="B154" s="26">
        <f>'My trades'!G154-'My trades'!D154</f>
        <v>701</v>
      </c>
      <c r="C154" s="31">
        <f>('My trades'!H154-'My trades'!F154)*'My trades'!E154</f>
        <v>0.13450365868527592</v>
      </c>
    </row>
    <row r="155" spans="1:3">
      <c r="A155" s="26" t="str">
        <f>'My trades'!A155</f>
        <v>ucjtvrzo</v>
      </c>
      <c r="B155" s="26">
        <f>'My trades'!G155-'My trades'!D155</f>
        <v>319</v>
      </c>
      <c r="C155" s="31">
        <f>('My trades'!H155-'My trades'!F155)*'My trades'!E155</f>
        <v>3.0900493820769115</v>
      </c>
    </row>
    <row r="156" spans="1:3">
      <c r="A156" s="26" t="str">
        <f>'My trades'!A156</f>
        <v>ueoaufxg</v>
      </c>
      <c r="B156" s="26">
        <f>'My trades'!G156-'My trades'!D156</f>
        <v>811</v>
      </c>
      <c r="C156" s="31">
        <f>('My trades'!H156-'My trades'!F156)*'My trades'!E156</f>
        <v>2.5055518026755124</v>
      </c>
    </row>
    <row r="157" spans="1:3">
      <c r="A157" s="26" t="str">
        <f>'My trades'!A157</f>
        <v>ugegxjpi</v>
      </c>
      <c r="B157" s="26">
        <f>'My trades'!G157-'My trades'!D157</f>
        <v>420</v>
      </c>
      <c r="C157" s="31">
        <f>('My trades'!H157-'My trades'!F157)*'My trades'!E157</f>
        <v>0.44627863636776588</v>
      </c>
    </row>
    <row r="158" spans="1:3">
      <c r="A158" s="26" t="str">
        <f>'My trades'!A158</f>
        <v>uijhzhtp</v>
      </c>
      <c r="B158" s="26">
        <f>'My trades'!G158-'My trades'!D158</f>
        <v>141</v>
      </c>
      <c r="C158" s="31">
        <f>('My trades'!H158-'My trades'!F158)*'My trades'!E158</f>
        <v>-0.33733947132457798</v>
      </c>
    </row>
    <row r="159" spans="1:3">
      <c r="A159" s="26" t="str">
        <f>'My trades'!A159</f>
        <v>uiytklhp</v>
      </c>
      <c r="B159" s="26">
        <f>'My trades'!G159-'My trades'!D159</f>
        <v>443</v>
      </c>
      <c r="C159" s="31">
        <f>('My trades'!H159-'My trades'!F159)*'My trades'!E159</f>
        <v>0.63835945992036414</v>
      </c>
    </row>
    <row r="160" spans="1:3">
      <c r="A160" s="26" t="str">
        <f>'My trades'!A160</f>
        <v>umdvcmek</v>
      </c>
      <c r="B160" s="26">
        <f>'My trades'!G160-'My trades'!D160</f>
        <v>404</v>
      </c>
      <c r="C160" s="31">
        <f>('My trades'!H160-'My trades'!F160)*'My trades'!E160</f>
        <v>-0.12334829544298809</v>
      </c>
    </row>
    <row r="161" spans="1:3">
      <c r="A161" s="26" t="str">
        <f>'My trades'!A161</f>
        <v>unxxstxp</v>
      </c>
      <c r="B161" s="26">
        <f>'My trades'!G161-'My trades'!D161</f>
        <v>345</v>
      </c>
      <c r="C161" s="31">
        <f>('My trades'!H161-'My trades'!F161)*'My trades'!E161</f>
        <v>-6.2183137819950052E-2</v>
      </c>
    </row>
    <row r="162" spans="1:3">
      <c r="A162" s="26" t="str">
        <f>'My trades'!A162</f>
        <v>upcbwvls</v>
      </c>
      <c r="B162" s="26">
        <f>'My trades'!G162-'My trades'!D162</f>
        <v>698</v>
      </c>
      <c r="C162" s="31">
        <f>('My trades'!H162-'My trades'!F162)*'My trades'!E162</f>
        <v>1.525589636865456</v>
      </c>
    </row>
    <row r="163" spans="1:3">
      <c r="A163" s="26" t="str">
        <f>'My trades'!A163</f>
        <v>uvenvheh</v>
      </c>
      <c r="B163" s="26">
        <f>'My trades'!G163-'My trades'!D163</f>
        <v>235</v>
      </c>
      <c r="C163" s="31">
        <f>('My trades'!H163-'My trades'!F163)*'My trades'!E163</f>
        <v>-0.92995958029629511</v>
      </c>
    </row>
    <row r="164" spans="1:3">
      <c r="A164" s="26" t="str">
        <f>'My trades'!A164</f>
        <v>vajwbmmv</v>
      </c>
      <c r="B164" s="26">
        <f>'My trades'!G164-'My trades'!D164</f>
        <v>148</v>
      </c>
      <c r="C164" s="31">
        <f>('My trades'!H164-'My trades'!F164)*'My trades'!E164</f>
        <v>-0.28002138939231014</v>
      </c>
    </row>
    <row r="165" spans="1:3">
      <c r="A165" s="26" t="str">
        <f>'My trades'!A165</f>
        <v>vggvbbxh</v>
      </c>
      <c r="B165" s="26">
        <f>'My trades'!G165-'My trades'!D165</f>
        <v>695</v>
      </c>
      <c r="C165" s="31">
        <f>('My trades'!H165-'My trades'!F165)*'My trades'!E165</f>
        <v>-5.4307098540242036</v>
      </c>
    </row>
    <row r="166" spans="1:3">
      <c r="A166" s="26" t="str">
        <f>'My trades'!A166</f>
        <v>vjtxbscg</v>
      </c>
      <c r="B166" s="26">
        <f>'My trades'!G166-'My trades'!D166</f>
        <v>358</v>
      </c>
      <c r="C166" s="31">
        <f>('My trades'!H166-'My trades'!F166)*'My trades'!E166</f>
        <v>1.7732877280659309E-2</v>
      </c>
    </row>
    <row r="167" spans="1:3">
      <c r="A167" s="26" t="str">
        <f>'My trades'!A167</f>
        <v>vnkvbrpg</v>
      </c>
      <c r="B167" s="26">
        <f>'My trades'!G167-'My trades'!D167</f>
        <v>213</v>
      </c>
      <c r="C167" s="31">
        <f>('My trades'!H167-'My trades'!F167)*'My trades'!E167</f>
        <v>3.034347410187225</v>
      </c>
    </row>
    <row r="168" spans="1:3">
      <c r="A168" s="26" t="str">
        <f>'My trades'!A168</f>
        <v>vqkagvwm</v>
      </c>
      <c r="B168" s="26">
        <f>'My trades'!G168-'My trades'!D168</f>
        <v>459</v>
      </c>
      <c r="C168" s="31">
        <f>('My trades'!H168-'My trades'!F168)*'My trades'!E168</f>
        <v>7.1354277806178631E-2</v>
      </c>
    </row>
    <row r="169" spans="1:3">
      <c r="A169" s="26" t="str">
        <f>'My trades'!A169</f>
        <v>waxzujox</v>
      </c>
      <c r="B169" s="26">
        <f>'My trades'!G169-'My trades'!D169</f>
        <v>143</v>
      </c>
      <c r="C169" s="31">
        <f>('My trades'!H169-'My trades'!F169)*'My trades'!E169</f>
        <v>3.3174060387963E-2</v>
      </c>
    </row>
    <row r="170" spans="1:3">
      <c r="A170" s="26" t="str">
        <f>'My trades'!A170</f>
        <v>wfglkcmq</v>
      </c>
      <c r="B170" s="26">
        <f>'My trades'!G170-'My trades'!D170</f>
        <v>143</v>
      </c>
      <c r="C170" s="31">
        <f>('My trades'!H170-'My trades'!F170)*'My trades'!E170</f>
        <v>0.44657128794339002</v>
      </c>
    </row>
    <row r="171" spans="1:3">
      <c r="A171" s="26" t="str">
        <f>'My trades'!A171</f>
        <v>wgpoqytj</v>
      </c>
      <c r="B171" s="26">
        <f>'My trades'!G171-'My trades'!D171</f>
        <v>744</v>
      </c>
      <c r="C171" s="31">
        <f>('My trades'!H171-'My trades'!F171)*'My trades'!E171</f>
        <v>1.2663374943292061E-2</v>
      </c>
    </row>
    <row r="172" spans="1:3">
      <c r="A172" s="26" t="str">
        <f>'My trades'!A172</f>
        <v>wgzgfkki</v>
      </c>
      <c r="B172" s="26">
        <f>'My trades'!G172-'My trades'!D172</f>
        <v>543</v>
      </c>
      <c r="C172" s="31">
        <f>('My trades'!H172-'My trades'!F172)*'My trades'!E172</f>
        <v>-3.4330174579970323</v>
      </c>
    </row>
    <row r="173" spans="1:3">
      <c r="A173" s="26" t="str">
        <f>'My trades'!A173</f>
        <v>wiujcxll</v>
      </c>
      <c r="B173" s="26">
        <f>'My trades'!G173-'My trades'!D173</f>
        <v>565</v>
      </c>
      <c r="C173" s="31">
        <f>('My trades'!H173-'My trades'!F173)*'My trades'!E173</f>
        <v>-0.68743133338791007</v>
      </c>
    </row>
    <row r="174" spans="1:3">
      <c r="A174" s="26" t="str">
        <f>'My trades'!A174</f>
        <v>wmesgogf</v>
      </c>
      <c r="B174" s="26">
        <f>'My trades'!G174-'My trades'!D174</f>
        <v>229</v>
      </c>
      <c r="C174" s="31">
        <f>('My trades'!H174-'My trades'!F174)*'My trades'!E174</f>
        <v>-1.0710616568015761</v>
      </c>
    </row>
    <row r="175" spans="1:3">
      <c r="A175" s="26" t="str">
        <f>'My trades'!A175</f>
        <v>wzerurjz</v>
      </c>
      <c r="B175" s="26">
        <f>'My trades'!G175-'My trades'!D175</f>
        <v>753</v>
      </c>
      <c r="C175" s="31">
        <f>('My trades'!H175-'My trades'!F175)*'My trades'!E175</f>
        <v>-2.6230882843513141</v>
      </c>
    </row>
    <row r="176" spans="1:3">
      <c r="A176" s="26" t="str">
        <f>'My trades'!A176</f>
        <v>xbcdvdtp</v>
      </c>
      <c r="B176" s="26">
        <f>'My trades'!G176-'My trades'!D176</f>
        <v>838</v>
      </c>
      <c r="C176" s="31">
        <f>('My trades'!H176-'My trades'!F176)*'My trades'!E176</f>
        <v>-2.5022226206590386</v>
      </c>
    </row>
    <row r="177" spans="1:3">
      <c r="A177" s="26" t="str">
        <f>'My trades'!A177</f>
        <v>xgimgqvp</v>
      </c>
      <c r="B177" s="26">
        <f>'My trades'!G177-'My trades'!D177</f>
        <v>172</v>
      </c>
      <c r="C177" s="31">
        <f>('My trades'!H177-'My trades'!F177)*'My trades'!E177</f>
        <v>-1.5256033160767555</v>
      </c>
    </row>
    <row r="178" spans="1:3">
      <c r="A178" s="26" t="str">
        <f>'My trades'!A178</f>
        <v>xgszegxx</v>
      </c>
      <c r="B178" s="26">
        <f>'My trades'!G178-'My trades'!D178</f>
        <v>795</v>
      </c>
      <c r="C178" s="31">
        <f>('My trades'!H178-'My trades'!F178)*'My trades'!E178</f>
        <v>0.58011727073419816</v>
      </c>
    </row>
    <row r="179" spans="1:3">
      <c r="A179" s="26" t="str">
        <f>'My trades'!A179</f>
        <v>xgxazdwr</v>
      </c>
      <c r="B179" s="26">
        <f>'My trades'!G179-'My trades'!D179</f>
        <v>490</v>
      </c>
      <c r="C179" s="31">
        <f>('My trades'!H179-'My trades'!F179)*'My trades'!E179</f>
        <v>0.86283924251520117</v>
      </c>
    </row>
    <row r="180" spans="1:3">
      <c r="A180" s="26" t="str">
        <f>'My trades'!A180</f>
        <v>xkdlzakx</v>
      </c>
      <c r="B180" s="26">
        <f>'My trades'!G180-'My trades'!D180</f>
        <v>712</v>
      </c>
      <c r="C180" s="31">
        <f>('My trades'!H180-'My trades'!F180)*'My trades'!E180</f>
        <v>1.1097043774273523</v>
      </c>
    </row>
    <row r="181" spans="1:3">
      <c r="A181" s="26" t="str">
        <f>'My trades'!A181</f>
        <v>xmfevyrg</v>
      </c>
      <c r="B181" s="26">
        <f>'My trades'!G181-'My trades'!D181</f>
        <v>676</v>
      </c>
      <c r="C181" s="31">
        <f>('My trades'!H181-'My trades'!F181)*'My trades'!E181</f>
        <v>1.7559577929617052</v>
      </c>
    </row>
    <row r="182" spans="1:3">
      <c r="A182" s="26" t="str">
        <f>'My trades'!A182</f>
        <v>xmzhzbvl</v>
      </c>
      <c r="B182" s="26">
        <f>'My trades'!G182-'My trades'!D182</f>
        <v>501</v>
      </c>
      <c r="C182" s="31">
        <f>('My trades'!H182-'My trades'!F182)*'My trades'!E182</f>
        <v>1.6595270008323837</v>
      </c>
    </row>
    <row r="183" spans="1:3">
      <c r="A183" s="26" t="str">
        <f>'My trades'!A183</f>
        <v>xslzwome</v>
      </c>
      <c r="B183" s="26">
        <f>'My trades'!G183-'My trades'!D183</f>
        <v>231</v>
      </c>
      <c r="C183" s="31">
        <f>('My trades'!H183-'My trades'!F183)*'My trades'!E183</f>
        <v>-2.634202273976245</v>
      </c>
    </row>
    <row r="184" spans="1:3">
      <c r="A184" s="26" t="str">
        <f>'My trades'!A184</f>
        <v>xydeqivj</v>
      </c>
      <c r="B184" s="26">
        <f>'My trades'!G184-'My trades'!D184</f>
        <v>285</v>
      </c>
      <c r="C184" s="31">
        <f>('My trades'!H184-'My trades'!F184)*'My trades'!E184</f>
        <v>0.32849767871635599</v>
      </c>
    </row>
    <row r="185" spans="1:3">
      <c r="A185" s="26" t="str">
        <f>'My trades'!A185</f>
        <v>ybasexlh</v>
      </c>
      <c r="B185" s="26">
        <f>'My trades'!G185-'My trades'!D185</f>
        <v>460</v>
      </c>
      <c r="C185" s="31">
        <f>('My trades'!H185-'My trades'!F185)*'My trades'!E185</f>
        <v>2.8849163151886512</v>
      </c>
    </row>
    <row r="186" spans="1:3">
      <c r="A186" s="26" t="str">
        <f>'My trades'!A186</f>
        <v>ydcmffnz</v>
      </c>
      <c r="B186" s="26">
        <f>'My trades'!G186-'My trades'!D186</f>
        <v>589</v>
      </c>
      <c r="C186" s="31">
        <f>('My trades'!H186-'My trades'!F186)*'My trades'!E186</f>
        <v>3.5109906860680162</v>
      </c>
    </row>
    <row r="187" spans="1:3">
      <c r="A187" s="26" t="str">
        <f>'My trades'!A187</f>
        <v>yjrqvwdc</v>
      </c>
      <c r="B187" s="26">
        <f>'My trades'!G187-'My trades'!D187</f>
        <v>80</v>
      </c>
      <c r="C187" s="31">
        <f>('My trades'!H187-'My trades'!F187)*'My trades'!E187</f>
        <v>-0.13532525139256799</v>
      </c>
    </row>
    <row r="188" spans="1:3">
      <c r="A188" s="26" t="str">
        <f>'My trades'!A188</f>
        <v>ynqvlbrq</v>
      </c>
      <c r="B188" s="26">
        <f>'My trades'!G188-'My trades'!D188</f>
        <v>747</v>
      </c>
      <c r="C188" s="31">
        <f>('My trades'!H188-'My trades'!F188)*'My trades'!E188</f>
        <v>0.20832661022901502</v>
      </c>
    </row>
    <row r="189" spans="1:3">
      <c r="A189" s="26" t="str">
        <f>'My trades'!A189</f>
        <v>ynrcizqr</v>
      </c>
      <c r="B189" s="26">
        <f>'My trades'!G189-'My trades'!D189</f>
        <v>623</v>
      </c>
      <c r="C189" s="31">
        <f>('My trades'!H189-'My trades'!F189)*'My trades'!E189</f>
        <v>-0.78347954885382642</v>
      </c>
    </row>
    <row r="190" spans="1:3">
      <c r="A190" s="26" t="str">
        <f>'My trades'!A190</f>
        <v>ypdwpcvo</v>
      </c>
      <c r="B190" s="26">
        <f>'My trades'!G190-'My trades'!D190</f>
        <v>342</v>
      </c>
      <c r="C190" s="31">
        <f>('My trades'!H190-'My trades'!F190)*'My trades'!E190</f>
        <v>0.19416143448368101</v>
      </c>
    </row>
    <row r="191" spans="1:3">
      <c r="A191" s="26" t="str">
        <f>'My trades'!A191</f>
        <v>yrvvdedn</v>
      </c>
      <c r="B191" s="26">
        <f>'My trades'!G191-'My trades'!D191</f>
        <v>752</v>
      </c>
      <c r="C191" s="31">
        <f>('My trades'!H191-'My trades'!F191)*'My trades'!E191</f>
        <v>0.41722476579256806</v>
      </c>
    </row>
    <row r="192" spans="1:3">
      <c r="A192" s="26" t="str">
        <f>'My trades'!A192</f>
        <v>ysndnwiy</v>
      </c>
      <c r="B192" s="26">
        <f>'My trades'!G192-'My trades'!D192</f>
        <v>369</v>
      </c>
      <c r="C192" s="31">
        <f>('My trades'!H192-'My trades'!F192)*'My trades'!E192</f>
        <v>1.9271956549415645</v>
      </c>
    </row>
    <row r="193" spans="1:3">
      <c r="A193" s="26" t="str">
        <f>'My trades'!A193</f>
        <v>ywfotaaf</v>
      </c>
      <c r="B193" s="26">
        <f>'My trades'!G193-'My trades'!D193</f>
        <v>181</v>
      </c>
      <c r="C193" s="31">
        <f>('My trades'!H193-'My trades'!F193)*'My trades'!E193</f>
        <v>-0.66490583255463598</v>
      </c>
    </row>
    <row r="194" spans="1:3">
      <c r="A194" s="26" t="str">
        <f>'My trades'!A194</f>
        <v>yyclexzy</v>
      </c>
      <c r="B194" s="26">
        <f>'My trades'!G194-'My trades'!D194</f>
        <v>552</v>
      </c>
      <c r="C194" s="31">
        <f>('My trades'!H194-'My trades'!F194)*'My trades'!E194</f>
        <v>0.27086608677204504</v>
      </c>
    </row>
    <row r="195" spans="1:3">
      <c r="A195" s="26" t="str">
        <f>'My trades'!A195</f>
        <v>zhhtkovi</v>
      </c>
      <c r="B195" s="26">
        <f>'My trades'!G195-'My trades'!D195</f>
        <v>526</v>
      </c>
      <c r="C195" s="31">
        <f>('My trades'!H195-'My trades'!F195)*'My trades'!E195</f>
        <v>-0.58197825859747199</v>
      </c>
    </row>
    <row r="196" spans="1:3">
      <c r="A196" s="26" t="str">
        <f>'My trades'!A196</f>
        <v>zkxftiop</v>
      </c>
      <c r="B196" s="26">
        <f>'My trades'!G196-'My trades'!D196</f>
        <v>539</v>
      </c>
      <c r="C196" s="31">
        <f>('My trades'!H196-'My trades'!F196)*'My trades'!E196</f>
        <v>0.3873951776782758</v>
      </c>
    </row>
    <row r="197" spans="1:3">
      <c r="A197" s="26" t="str">
        <f>'My trades'!A197</f>
        <v>zlqfijoe</v>
      </c>
      <c r="B197" s="26">
        <f>'My trades'!G197-'My trades'!D197</f>
        <v>708</v>
      </c>
      <c r="C197" s="31">
        <f>('My trades'!H197-'My trades'!F197)*'My trades'!E197</f>
        <v>-6.5338594818558899</v>
      </c>
    </row>
    <row r="198" spans="1:3">
      <c r="A198" s="26" t="str">
        <f>'My trades'!A198</f>
        <v>zrgkwdyf</v>
      </c>
      <c r="B198" s="26">
        <f>'My trades'!G198-'My trades'!D198</f>
        <v>593</v>
      </c>
      <c r="C198" s="31">
        <f>('My trades'!H198-'My trades'!F198)*'My trades'!E198</f>
        <v>-4.2252865132784978E-2</v>
      </c>
    </row>
    <row r="199" spans="1:3">
      <c r="A199" s="26" t="str">
        <f>'My trades'!A199</f>
        <v>zsbkamjf</v>
      </c>
      <c r="B199" s="26">
        <f>'My trades'!G199-'My trades'!D199</f>
        <v>159</v>
      </c>
      <c r="C199" s="31">
        <f>('My trades'!H199-'My trades'!F199)*'My trades'!E199</f>
        <v>1.4526226469951637</v>
      </c>
    </row>
    <row r="200" spans="1:3">
      <c r="A200" s="26" t="str">
        <f>'My trades'!A200</f>
        <v>zsylhezi</v>
      </c>
      <c r="B200" s="26">
        <f>'My trades'!G200-'My trades'!D200</f>
        <v>295</v>
      </c>
      <c r="C200" s="31">
        <f>('My trades'!H200-'My trades'!F200)*'My trades'!E200</f>
        <v>2.3299770433649041</v>
      </c>
    </row>
    <row r="201" spans="1:3">
      <c r="A201" s="26" t="str">
        <f>'My trades'!A201</f>
        <v>zvxjotpr</v>
      </c>
      <c r="B201" s="26">
        <f>'My trades'!G201-'My trades'!D201</f>
        <v>476</v>
      </c>
      <c r="C201" s="31">
        <f>('My trades'!H201-'My trades'!F201)*'My trades'!E201</f>
        <v>-6.204338418382064</v>
      </c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</sheetData>
  <mergeCells count="2">
    <mergeCell ref="E22:M26"/>
    <mergeCell ref="N9:N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3D50-B675-4DE2-BA2D-623324C48FB5}">
  <dimension ref="A1:AL48"/>
  <sheetViews>
    <sheetView tabSelected="1" workbookViewId="0">
      <selection activeCell="O7" sqref="O7"/>
    </sheetView>
  </sheetViews>
  <sheetFormatPr defaultRowHeight="12.75"/>
  <cols>
    <col min="2" max="2" width="18.85546875" bestFit="1" customWidth="1"/>
    <col min="13" max="13" width="18.85546875" bestFit="1" customWidth="1"/>
    <col min="14" max="14" width="16.7109375" bestFit="1" customWidth="1"/>
  </cols>
  <sheetData>
    <row r="1" spans="1:38" ht="19.5" customHeight="1" thickTop="1" thickBot="1">
      <c r="A1" s="60"/>
      <c r="B1" s="61"/>
      <c r="C1" s="67" t="s">
        <v>256</v>
      </c>
      <c r="D1" s="68"/>
      <c r="E1" s="68"/>
      <c r="F1" s="68"/>
      <c r="G1" s="68"/>
      <c r="H1" s="68"/>
      <c r="I1" s="68"/>
      <c r="J1" s="68"/>
      <c r="K1" s="68"/>
      <c r="L1" s="6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8" ht="19.5" customHeight="1" thickTop="1" thickBot="1">
      <c r="A2" s="62"/>
      <c r="B2" s="63"/>
      <c r="C2" s="34">
        <v>1</v>
      </c>
      <c r="D2" s="35">
        <v>2</v>
      </c>
      <c r="E2" s="35">
        <v>3</v>
      </c>
      <c r="F2" s="35">
        <v>4</v>
      </c>
      <c r="G2" s="35">
        <v>5</v>
      </c>
      <c r="H2" s="35">
        <v>6</v>
      </c>
      <c r="I2" s="35">
        <v>7</v>
      </c>
      <c r="J2" s="35">
        <v>8</v>
      </c>
      <c r="K2" s="35">
        <v>9</v>
      </c>
      <c r="L2" s="35">
        <v>10</v>
      </c>
      <c r="M2" s="33" t="s">
        <v>258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38" ht="20.25" thickTop="1">
      <c r="A3" s="64" t="s">
        <v>2</v>
      </c>
      <c r="B3" s="36" t="str" cm="1">
        <f t="array" ref="B3:B19">_xlfn.UNIQUE('My trades'!C2:C201)</f>
        <v>India</v>
      </c>
      <c r="C3" s="42">
        <f>COUNTIFS('My trades'!$C$2:$C$201,'Number of trades exchanged'!$B$3,'My trades'!$E$2:$E$201,'Number of trades exchanged'!C2)</f>
        <v>4</v>
      </c>
      <c r="D3" s="42">
        <f>COUNTIFS('My trades'!$C$2:$C$201,'Number of trades exchanged'!$B$3,'My trades'!$E$2:$E$201,'Number of trades exchanged'!D2)</f>
        <v>4</v>
      </c>
      <c r="E3" s="42">
        <f>COUNTIFS('My trades'!$C$2:$C$201,'Number of trades exchanged'!$B$3,'My trades'!$E$2:$E$201,'Number of trades exchanged'!E2)</f>
        <v>4</v>
      </c>
      <c r="F3" s="42">
        <f>COUNTIFS('My trades'!$C$2:$C$201,'Number of trades exchanged'!$B$3,'My trades'!$E$2:$E$201,'Number of trades exchanged'!F2)</f>
        <v>1</v>
      </c>
      <c r="G3" s="42">
        <f>COUNTIFS('My trades'!$C$2:$C$201,'Number of trades exchanged'!$B$3,'My trades'!$E$2:$E$201,'Number of trades exchanged'!G2)</f>
        <v>1</v>
      </c>
      <c r="H3" s="42">
        <f>COUNTIFS('My trades'!$C$2:$C$201,'Number of trades exchanged'!$B$3,'My trades'!$E$2:$E$201,'Number of trades exchanged'!H2)</f>
        <v>3</v>
      </c>
      <c r="I3" s="42">
        <f>COUNTIFS('My trades'!$C$2:$C$201,'Number of trades exchanged'!$B$3,'My trades'!$E$2:$E$201,'Number of trades exchanged'!I2)</f>
        <v>2</v>
      </c>
      <c r="J3" s="42">
        <f>COUNTIFS('My trades'!$C$2:$C$201,'Number of trades exchanged'!$B$3,'My trades'!$E$2:$E$201,'Number of trades exchanged'!J2)</f>
        <v>1</v>
      </c>
      <c r="K3" s="26">
        <f>COUNTIFS('My trades'!$C$2:$C$201,'Number of trades exchanged'!$B$3,'My trades'!$E$2:$E$201,'Number of trades exchanged'!K2)</f>
        <v>2</v>
      </c>
      <c r="L3" s="26">
        <f>COUNTIFS('My trades'!$C$2:$C$201,'Number of trades exchanged'!$B$3,'My trades'!$E$2:$E$201,'Number of trades exchanged'!L2)</f>
        <v>2</v>
      </c>
      <c r="M3" s="26">
        <f>SUM(C3:L3)</f>
        <v>24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38" ht="19.5">
      <c r="A4" s="65"/>
      <c r="B4" s="37" t="str">
        <v>Iran</v>
      </c>
      <c r="C4" s="42">
        <f>COUNTIFS('My trades'!$C$2:$C$201,$B$4,'My trades'!$E$2:$E$201,'Number of trades exchanged'!C2)</f>
        <v>0</v>
      </c>
      <c r="D4" s="42">
        <f>COUNTIFS('My trades'!$C$2:$C$201,$B$4,'My trades'!$E$2:$E$201,'Number of trades exchanged'!D2)</f>
        <v>2</v>
      </c>
      <c r="E4" s="42">
        <f>COUNTIFS('My trades'!$C$2:$C$201,$B$4,'My trades'!$E$2:$E$201,'Number of trades exchanged'!E2)</f>
        <v>1</v>
      </c>
      <c r="F4" s="42">
        <f>COUNTIFS('My trades'!$C$2:$C$201,$B$4,'My trades'!$E$2:$E$201,'Number of trades exchanged'!F2)</f>
        <v>1</v>
      </c>
      <c r="G4" s="42">
        <f>COUNTIFS('My trades'!$C$2:$C$201,$B$4,'My trades'!$E$2:$E$201,'Number of trades exchanged'!G2)</f>
        <v>1</v>
      </c>
      <c r="H4" s="42">
        <f>COUNTIFS('My trades'!$C$2:$C$201,$B$4,'My trades'!$E$2:$E$201,'Number of trades exchanged'!H2)</f>
        <v>1</v>
      </c>
      <c r="I4" s="42">
        <f>COUNTIFS('My trades'!$C$2:$C$201,$B$4,'My trades'!$E$2:$E$201,'Number of trades exchanged'!I2)</f>
        <v>0</v>
      </c>
      <c r="J4" s="42">
        <f>COUNTIFS('My trades'!$C$2:$C$201,$B$4,'My trades'!$E$2:$E$201,'Number of trades exchanged'!J2)</f>
        <v>1</v>
      </c>
      <c r="K4" s="26">
        <f>COUNTIFS('My trades'!$C$2:$C$201,$B$4,'My trades'!$E$2:$E$201,'Number of trades exchanged'!K2)</f>
        <v>0</v>
      </c>
      <c r="L4" s="26">
        <f>COUNTIFS('My trades'!$C$2:$C$201,$B$4,'My trades'!$E$2:$E$201,'Number of trades exchanged'!L2)</f>
        <v>1</v>
      </c>
      <c r="M4" s="26">
        <f t="shared" ref="M4:M19" si="0">SUM(C4:L4)</f>
        <v>8</v>
      </c>
      <c r="N4" s="43" t="s">
        <v>269</v>
      </c>
      <c r="O4" s="26">
        <f>I15/M20</f>
        <v>0.01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38" ht="19.5">
      <c r="A5" s="65"/>
      <c r="B5" s="37" t="str">
        <v>Switzerland</v>
      </c>
      <c r="C5" s="26">
        <f>COUNTIFS('My trades'!$C$2:$C$201,$B$5,'My trades'!$E$2:$E$201,'Number of trades exchanged'!C2)</f>
        <v>2</v>
      </c>
      <c r="D5" s="26">
        <f>COUNTIFS('My trades'!$C$2:$C$201,$B$5,'My trades'!$E$2:$E$201,'Number of trades exchanged'!D2)</f>
        <v>0</v>
      </c>
      <c r="E5" s="26">
        <f>COUNTIFS('My trades'!$C$2:$C$201,$B$5,'My trades'!$E$2:$E$201,'Number of trades exchanged'!E2)</f>
        <v>0</v>
      </c>
      <c r="F5" s="26">
        <f>COUNTIFS('My trades'!$C$2:$C$201,$B$5,'My trades'!$E$2:$E$201,'Number of trades exchanged'!F2)</f>
        <v>0</v>
      </c>
      <c r="G5" s="26">
        <f>COUNTIFS('My trades'!$C$2:$C$201,$B$5,'My trades'!$E$2:$E$201,'Number of trades exchanged'!G2)</f>
        <v>0</v>
      </c>
      <c r="H5" s="26">
        <f>COUNTIFS('My trades'!$C$2:$C$201,$B$5,'My trades'!$E$2:$E$201,'Number of trades exchanged'!H2)</f>
        <v>2</v>
      </c>
      <c r="I5" s="26">
        <f>COUNTIFS('My trades'!$C$2:$C$201,$B$5,'My trades'!$E$2:$E$201,'Number of trades exchanged'!I2)</f>
        <v>0</v>
      </c>
      <c r="J5" s="26">
        <f>COUNTIFS('My trades'!$C$2:$C$201,$B$5,'My trades'!$E$2:$E$201,'Number of trades exchanged'!J2)</f>
        <v>2</v>
      </c>
      <c r="K5" s="26">
        <f>COUNTIFS('My trades'!$C$2:$C$201,$B$5,'My trades'!$E$2:$E$201,'Number of trades exchanged'!K2)</f>
        <v>1</v>
      </c>
      <c r="L5" s="26">
        <f>COUNTIFS('My trades'!$C$2:$C$201,$B$5,'My trades'!$E$2:$E$201,'Number of trades exchanged'!L2)</f>
        <v>1</v>
      </c>
      <c r="M5" s="26">
        <f t="shared" si="0"/>
        <v>8</v>
      </c>
      <c r="N5" s="44" t="s">
        <v>268</v>
      </c>
      <c r="O5" s="71">
        <f>(SUM(C3:J3,C4:J4,C7:J7,C11:J11,C12:J12,C13:J13,C14:J14,C18:J18))/M20</f>
        <v>0.37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38" ht="19.5">
      <c r="A6" s="65"/>
      <c r="B6" s="37" t="str">
        <v>Europe</v>
      </c>
      <c r="C6" s="26">
        <f>COUNTIFS('My trades'!$C$2:$C$201,$B$6,'My trades'!$E$2:$E$201,'Number of trades exchanged'!C2)</f>
        <v>3</v>
      </c>
      <c r="D6" s="26">
        <f>COUNTIFS('My trades'!$C$2:$C$201,$B$6,'My trades'!$E$2:$E$201,'Number of trades exchanged'!D2)</f>
        <v>1</v>
      </c>
      <c r="E6" s="26">
        <f>COUNTIFS('My trades'!$C$2:$C$201,$B$6,'My trades'!$E$2:$E$201,'Number of trades exchanged'!E2)</f>
        <v>2</v>
      </c>
      <c r="F6" s="26">
        <f>COUNTIFS('My trades'!$C$2:$C$201,$B$6,'My trades'!$E$2:$E$201,'Number of trades exchanged'!F2)</f>
        <v>3</v>
      </c>
      <c r="G6" s="26">
        <f>COUNTIFS('My trades'!$C$2:$C$201,$B$6,'My trades'!$E$2:$E$201,'Number of trades exchanged'!G2)</f>
        <v>2</v>
      </c>
      <c r="H6" s="26">
        <f>COUNTIFS('My trades'!$C$2:$C$201,$B$6,'My trades'!$E$2:$E$201,'Number of trades exchanged'!H2)</f>
        <v>3</v>
      </c>
      <c r="I6" s="26">
        <f>COUNTIFS('My trades'!$C$2:$C$201,$B$6,'My trades'!$E$2:$E$201,'Number of trades exchanged'!I2)</f>
        <v>0</v>
      </c>
      <c r="J6" s="26">
        <f>COUNTIFS('My trades'!$C$2:$C$201,$B$6,'My trades'!$E$2:$E$201,'Number of trades exchanged'!J2)</f>
        <v>0</v>
      </c>
      <c r="K6" s="26">
        <f>COUNTIFS('My trades'!$C$2:$C$201,$B$6,'My trades'!$E$2:$E$201,'Number of trades exchanged'!K2)</f>
        <v>1</v>
      </c>
      <c r="L6" s="26">
        <f>COUNTIFS('My trades'!$C$2:$C$201,$B$6,'My trades'!$E$2:$E$201,'Number of trades exchanged'!L2)</f>
        <v>1</v>
      </c>
      <c r="M6" s="26">
        <f t="shared" si="0"/>
        <v>16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38" ht="19.5">
      <c r="A7" s="65"/>
      <c r="B7" s="37" t="str">
        <v>South Korea</v>
      </c>
      <c r="C7" s="42">
        <f>COUNTIFS('My trades'!$C$2:$C$201,$B$7,'My trades'!$E$2:$E$201,'Number of trades exchanged'!C2)</f>
        <v>2</v>
      </c>
      <c r="D7" s="42">
        <f>COUNTIFS('My trades'!$C$2:$C$201,$B$7,'My trades'!$E$2:$E$201,'Number of trades exchanged'!D2)</f>
        <v>0</v>
      </c>
      <c r="E7" s="42">
        <f>COUNTIFS('My trades'!$C$2:$C$201,$B$7,'My trades'!$E$2:$E$201,'Number of trades exchanged'!E2)</f>
        <v>2</v>
      </c>
      <c r="F7" s="42">
        <f>COUNTIFS('My trades'!$C$2:$C$201,$B$7,'My trades'!$E$2:$E$201,'Number of trades exchanged'!F2)</f>
        <v>0</v>
      </c>
      <c r="G7" s="42">
        <f>COUNTIFS('My trades'!$C$2:$C$201,$B$7,'My trades'!$E$2:$E$201,'Number of trades exchanged'!G2)</f>
        <v>0</v>
      </c>
      <c r="H7" s="42">
        <f>COUNTIFS('My trades'!$C$2:$C$201,$B$7,'My trades'!$E$2:$E$201,'Number of trades exchanged'!H2)</f>
        <v>1</v>
      </c>
      <c r="I7" s="42">
        <f>COUNTIFS('My trades'!$C$2:$C$201,$B$7,'My trades'!$E$2:$E$201,'Number of trades exchanged'!I2)</f>
        <v>2</v>
      </c>
      <c r="J7" s="42">
        <f>COUNTIFS('My trades'!$C$2:$C$201,$B$7,'My trades'!$E$2:$E$201,'Number of trades exchanged'!J2)</f>
        <v>1</v>
      </c>
      <c r="K7" s="26">
        <f>COUNTIFS('My trades'!$C$2:$C$201,$B$7,'My trades'!$E$2:$E$201,'Number of trades exchanged'!K2)</f>
        <v>0</v>
      </c>
      <c r="L7" s="26">
        <f>COUNTIFS('My trades'!$C$2:$C$201,$B$7,'My trades'!$E$2:$E$201,'Number of trades exchanged'!L2)</f>
        <v>0</v>
      </c>
      <c r="M7" s="26">
        <f t="shared" si="0"/>
        <v>8</v>
      </c>
      <c r="N7" s="72"/>
      <c r="O7" s="7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38" ht="19.5">
      <c r="A8" s="65"/>
      <c r="B8" s="37" t="str">
        <v>South Africa</v>
      </c>
      <c r="C8" s="26">
        <f>COUNTIFS('My trades'!$C$2:$C$201,$B$8,'My trades'!$E$2:$E$201,'Number of trades exchanged'!C2)</f>
        <v>2</v>
      </c>
      <c r="D8" s="26">
        <f>COUNTIFS('My trades'!$C$2:$C$201,$B$8,'My trades'!$E$2:$E$201,'Number of trades exchanged'!D2)</f>
        <v>0</v>
      </c>
      <c r="E8" s="26">
        <f>COUNTIFS('My trades'!$C$2:$C$201,$B$8,'My trades'!$E$2:$E$201,'Number of trades exchanged'!E2)</f>
        <v>1</v>
      </c>
      <c r="F8" s="26">
        <f>COUNTIFS('My trades'!$C$2:$C$201,$B$8,'My trades'!$E$2:$E$201,'Number of trades exchanged'!F2)</f>
        <v>2</v>
      </c>
      <c r="G8" s="26">
        <f>COUNTIFS('My trades'!$C$2:$C$201,$B$8,'My trades'!$E$2:$E$201,'Number of trades exchanged'!G2)</f>
        <v>1</v>
      </c>
      <c r="H8" s="26">
        <f>COUNTIFS('My trades'!$C$2:$C$201,$B$8,'My trades'!$E$2:$E$201,'Number of trades exchanged'!H2)</f>
        <v>1</v>
      </c>
      <c r="I8" s="26">
        <f>COUNTIFS('My trades'!$C$2:$C$201,$B$8,'My trades'!$E$2:$E$201,'Number of trades exchanged'!I2)</f>
        <v>0</v>
      </c>
      <c r="J8" s="26">
        <f>COUNTIFS('My trades'!$C$2:$C$201,$B$8,'My trades'!$E$2:$E$201,'Number of trades exchanged'!J2)</f>
        <v>0</v>
      </c>
      <c r="K8" s="26">
        <f>COUNTIFS('My trades'!$C$2:$C$201,$B$8,'My trades'!$E$2:$E$201,'Number of trades exchanged'!K2)</f>
        <v>0</v>
      </c>
      <c r="L8" s="26">
        <f>COUNTIFS('My trades'!$C$2:$C$201,$B$8,'My trades'!$E$2:$E$201,'Number of trades exchanged'!L2)</f>
        <v>1</v>
      </c>
      <c r="M8" s="26">
        <f t="shared" si="0"/>
        <v>8</v>
      </c>
      <c r="N8" s="72"/>
      <c r="O8" s="72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38" ht="19.5">
      <c r="A9" s="65"/>
      <c r="B9" s="37" t="str">
        <v>Canada</v>
      </c>
      <c r="C9" s="26">
        <f>COUNTIFS('My trades'!$C$2:$C$201,$B$9,'My trades'!$E$2:$E$201,'Number of trades exchanged'!C2)</f>
        <v>0</v>
      </c>
      <c r="D9" s="26">
        <f>COUNTIFS('My trades'!$C$2:$C$201,$B$9,'My trades'!$E$2:$E$201,'Number of trades exchanged'!D2)</f>
        <v>2</v>
      </c>
      <c r="E9" s="26">
        <f>COUNTIFS('My trades'!$C$2:$C$201,$B$9,'My trades'!$E$2:$E$201,'Number of trades exchanged'!E2)</f>
        <v>0</v>
      </c>
      <c r="F9" s="26">
        <f>COUNTIFS('My trades'!$C$2:$C$201,$B$9,'My trades'!$E$2:$E$201,'Number of trades exchanged'!F2)</f>
        <v>0</v>
      </c>
      <c r="G9" s="26">
        <f>COUNTIFS('My trades'!$C$2:$C$201,$B$9,'My trades'!$E$2:$E$201,'Number of trades exchanged'!G2)</f>
        <v>2</v>
      </c>
      <c r="H9" s="26">
        <f>COUNTIFS('My trades'!$C$2:$C$201,$B$9,'My trades'!$E$2:$E$201,'Number of trades exchanged'!H2)</f>
        <v>2</v>
      </c>
      <c r="I9" s="26">
        <f>COUNTIFS('My trades'!$C$2:$C$201,$B$9,'My trades'!$E$2:$E$201,'Number of trades exchanged'!I2)</f>
        <v>0</v>
      </c>
      <c r="J9" s="26">
        <f>COUNTIFS('My trades'!$C$2:$C$201,$B$9,'My trades'!$E$2:$E$201,'Number of trades exchanged'!J2)</f>
        <v>0</v>
      </c>
      <c r="K9" s="26">
        <f>COUNTIFS('My trades'!$C$2:$C$201,$B$9,'My trades'!$E$2:$E$201,'Number of trades exchanged'!K2)</f>
        <v>0</v>
      </c>
      <c r="L9" s="26">
        <f>COUNTIFS('My trades'!$C$2:$C$201,$B$9,'My trades'!$E$2:$E$201,'Number of trades exchanged'!L2)</f>
        <v>2</v>
      </c>
      <c r="M9" s="26">
        <f t="shared" si="0"/>
        <v>8</v>
      </c>
      <c r="N9" s="72"/>
      <c r="O9" s="7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38" ht="19.5">
      <c r="A10" s="65"/>
      <c r="B10" s="37" t="str">
        <v>Germany</v>
      </c>
      <c r="C10" s="26">
        <f>COUNTIFS('My trades'!$C$2:$C$201,$B$10,'My trades'!$E$2:$E$201,'Number of trades exchanged'!C2)</f>
        <v>1</v>
      </c>
      <c r="D10" s="26">
        <f>COUNTIFS('My trades'!$C$2:$C$201,$B$10,'My trades'!$E$2:$E$201,'Number of trades exchanged'!D2)</f>
        <v>1</v>
      </c>
      <c r="E10" s="26">
        <f>COUNTIFS('My trades'!$C$2:$C$201,$B$10,'My trades'!$E$2:$E$201,'Number of trades exchanged'!E2)</f>
        <v>3</v>
      </c>
      <c r="F10" s="26">
        <f>COUNTIFS('My trades'!$C$2:$C$201,$B$10,'My trades'!$E$2:$E$201,'Number of trades exchanged'!F2)</f>
        <v>0</v>
      </c>
      <c r="G10" s="26">
        <f>COUNTIFS('My trades'!$C$2:$C$201,$B$10,'My trades'!$E$2:$E$201,'Number of trades exchanged'!G2)</f>
        <v>4</v>
      </c>
      <c r="H10" s="26">
        <f>COUNTIFS('My trades'!$C$2:$C$201,$B$10,'My trades'!$E$2:$E$201,'Number of trades exchanged'!H2)</f>
        <v>4</v>
      </c>
      <c r="I10" s="26">
        <f>COUNTIFS('My trades'!$C$2:$C$201,$B$10,'My trades'!$E$2:$E$201,'Number of trades exchanged'!I2)</f>
        <v>1</v>
      </c>
      <c r="J10" s="26">
        <f>COUNTIFS('My trades'!$C$2:$C$201,$B$10,'My trades'!$E$2:$E$201,'Number of trades exchanged'!J2)</f>
        <v>0</v>
      </c>
      <c r="K10" s="26">
        <f>COUNTIFS('My trades'!$C$2:$C$201,$B$10,'My trades'!$E$2:$E$201,'Number of trades exchanged'!K2)</f>
        <v>2</v>
      </c>
      <c r="L10" s="26">
        <f>COUNTIFS('My trades'!$C$2:$C$201,$B$10,'My trades'!$E$2:$E$201,'Number of trades exchanged'!L2)</f>
        <v>0</v>
      </c>
      <c r="M10" s="26">
        <f t="shared" si="0"/>
        <v>16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38" ht="19.5">
      <c r="A11" s="65"/>
      <c r="B11" s="37" t="str">
        <v>Saudi Arabia</v>
      </c>
      <c r="C11" s="42">
        <f>COUNTIFS('My trades'!$C$2:$C$201,$B$11,'My trades'!$E$2:$E$201,'Number of trades exchanged'!C2)</f>
        <v>1</v>
      </c>
      <c r="D11" s="42">
        <f>COUNTIFS('My trades'!$C$2:$C$201,$B$11,'My trades'!$E$2:$E$201,'Number of trades exchanged'!D2)</f>
        <v>2</v>
      </c>
      <c r="E11" s="42">
        <f>COUNTIFS('My trades'!$C$2:$C$201,$B$11,'My trades'!$E$2:$E$201,'Number of trades exchanged'!E2)</f>
        <v>0</v>
      </c>
      <c r="F11" s="42">
        <f>COUNTIFS('My trades'!$C$2:$C$201,$B$11,'My trades'!$E$2:$E$201,'Number of trades exchanged'!F2)</f>
        <v>0</v>
      </c>
      <c r="G11" s="42">
        <f>COUNTIFS('My trades'!$C$2:$C$201,$B$11,'My trades'!$E$2:$E$201,'Number of trades exchanged'!G2)</f>
        <v>2</v>
      </c>
      <c r="H11" s="42">
        <f>COUNTIFS('My trades'!$C$2:$C$201,$B$11,'My trades'!$E$2:$E$201,'Number of trades exchanged'!H2)</f>
        <v>1</v>
      </c>
      <c r="I11" s="42">
        <f>COUNTIFS('My trades'!$C$2:$C$201,$B$11,'My trades'!$E$2:$E$201,'Number of trades exchanged'!I2)</f>
        <v>2</v>
      </c>
      <c r="J11" s="42">
        <f>COUNTIFS('My trades'!$C$2:$C$201,$B$11,'My trades'!$E$2:$E$201,'Number of trades exchanged'!J2)</f>
        <v>0</v>
      </c>
      <c r="K11" s="26">
        <f>COUNTIFS('My trades'!$C$2:$C$201,$B$11,'My trades'!$E$2:$E$201,'Number of trades exchanged'!K2)</f>
        <v>0</v>
      </c>
      <c r="L11" s="26">
        <f>COUNTIFS('My trades'!$C$2:$C$201,$B$11,'My trades'!$E$2:$E$201,'Number of trades exchanged'!L2)</f>
        <v>0</v>
      </c>
      <c r="M11" s="26">
        <f t="shared" si="0"/>
        <v>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38" ht="19.5">
      <c r="A12" s="65"/>
      <c r="B12" s="37" t="str">
        <v>Japan</v>
      </c>
      <c r="C12" s="42">
        <f>COUNTIFS('My trades'!$C$2:$C$201,$B$12,'My trades'!$E$2:$E$201,'Number of trades exchanged'!C2)</f>
        <v>1</v>
      </c>
      <c r="D12" s="42">
        <f>COUNTIFS('My trades'!$C$2:$C$201,$B$12,'My trades'!$E$2:$E$201,'Number of trades exchanged'!D2)</f>
        <v>1</v>
      </c>
      <c r="E12" s="42">
        <f>COUNTIFS('My trades'!$C$2:$C$201,$B$12,'My trades'!$E$2:$E$201,'Number of trades exchanged'!E2)</f>
        <v>1</v>
      </c>
      <c r="F12" s="42">
        <f>COUNTIFS('My trades'!$C$2:$C$201,$B$12,'My trades'!$E$2:$E$201,'Number of trades exchanged'!F2)</f>
        <v>0</v>
      </c>
      <c r="G12" s="42">
        <f>COUNTIFS('My trades'!$C$2:$C$201,$B$12,'My trades'!$E$2:$E$201,'Number of trades exchanged'!G2)</f>
        <v>0</v>
      </c>
      <c r="H12" s="42">
        <f>COUNTIFS('My trades'!$C$2:$C$201,$B$12,'My trades'!$E$2:$E$201,'Number of trades exchanged'!H2)</f>
        <v>2</v>
      </c>
      <c r="I12" s="42">
        <f>COUNTIFS('My trades'!$C$2:$C$201,$B$12,'My trades'!$E$2:$E$201,'Number of trades exchanged'!I2)</f>
        <v>0</v>
      </c>
      <c r="J12" s="42">
        <f>COUNTIFS('My trades'!$C$2:$C$201,$B$12,'My trades'!$E$2:$E$201,'Number of trades exchanged'!J2)</f>
        <v>2</v>
      </c>
      <c r="K12" s="26">
        <f>COUNTIFS('My trades'!$C$2:$C$201,$B$12,'My trades'!$E$2:$E$201,'Number of trades exchanged'!K2)</f>
        <v>1</v>
      </c>
      <c r="L12" s="26">
        <f>COUNTIFS('My trades'!$C$2:$C$201,$B$12,'My trades'!$E$2:$E$201,'Number of trades exchanged'!L2)</f>
        <v>0</v>
      </c>
      <c r="M12" s="26">
        <f t="shared" si="0"/>
        <v>8</v>
      </c>
      <c r="N12" s="8"/>
      <c r="O12" s="8"/>
      <c r="P12" s="75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38" ht="19.5">
      <c r="A13" s="65"/>
      <c r="B13" s="37" t="str">
        <v>Hong Kong</v>
      </c>
      <c r="C13" s="42">
        <f>COUNTIFS('My trades'!$C$2:$C$201,$B$13,'My trades'!$E$2:$E$201,'Number of trades exchanged'!C2)</f>
        <v>0</v>
      </c>
      <c r="D13" s="42">
        <f>COUNTIFS('My trades'!$C$2:$C$201,$B$13,'My trades'!$E$2:$E$201,'Number of trades exchanged'!D2)</f>
        <v>0</v>
      </c>
      <c r="E13" s="42">
        <f>COUNTIFS('My trades'!$C$2:$C$201,$B$13,'My trades'!$E$2:$E$201,'Number of trades exchanged'!E2)</f>
        <v>0</v>
      </c>
      <c r="F13" s="42">
        <f>COUNTIFS('My trades'!$C$2:$C$201,$B$13,'My trades'!$E$2:$E$201,'Number of trades exchanged'!F2)</f>
        <v>0</v>
      </c>
      <c r="G13" s="42">
        <f>COUNTIFS('My trades'!$C$2:$C$201,$B$13,'My trades'!$E$2:$E$201,'Number of trades exchanged'!G2)</f>
        <v>3</v>
      </c>
      <c r="H13" s="42">
        <f>COUNTIFS('My trades'!$C$2:$C$201,$B$13,'My trades'!$E$2:$E$201,'Number of trades exchanged'!H2)</f>
        <v>1</v>
      </c>
      <c r="I13" s="42">
        <f>COUNTIFS('My trades'!$C$2:$C$201,$B$13,'My trades'!$E$2:$E$201,'Number of trades exchanged'!I2)</f>
        <v>2</v>
      </c>
      <c r="J13" s="42">
        <f>COUNTIFS('My trades'!$C$2:$C$201,$B$13,'My trades'!$E$2:$E$201,'Number of trades exchanged'!J2)</f>
        <v>0</v>
      </c>
      <c r="K13" s="26">
        <f>COUNTIFS('My trades'!$C$2:$C$201,$B$13,'My trades'!$E$2:$E$201,'Number of trades exchanged'!K2)</f>
        <v>1</v>
      </c>
      <c r="L13" s="26">
        <f>COUNTIFS('My trades'!$C$2:$C$201,$B$13,'My trades'!$E$2:$E$201,'Number of trades exchanged'!L2)</f>
        <v>1</v>
      </c>
      <c r="M13" s="26">
        <f t="shared" si="0"/>
        <v>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38" ht="19.5">
      <c r="A14" s="65"/>
      <c r="B14" s="37" t="str">
        <v>China</v>
      </c>
      <c r="C14" s="42">
        <f>COUNTIFS('My trades'!$C$2:$C$201,$B$14,'My trades'!$E$2:$E$201,'Number of trades exchanged'!C2)</f>
        <v>2</v>
      </c>
      <c r="D14" s="42">
        <f>COUNTIFS('My trades'!$C$2:$C$201,$B$14,'My trades'!$E$2:$E$201,'Number of trades exchanged'!D2)</f>
        <v>1</v>
      </c>
      <c r="E14" s="42">
        <f>COUNTIFS('My trades'!$C$2:$C$201,$B$14,'My trades'!$E$2:$E$201,'Number of trades exchanged'!E2)</f>
        <v>1</v>
      </c>
      <c r="F14" s="42">
        <f>COUNTIFS('My trades'!$C$2:$C$201,$B$14,'My trades'!$E$2:$E$201,'Number of trades exchanged'!F2)</f>
        <v>6</v>
      </c>
      <c r="G14" s="42">
        <f>COUNTIFS('My trades'!$C$2:$C$201,$B$14,'My trades'!$E$2:$E$201,'Number of trades exchanged'!G2)</f>
        <v>1</v>
      </c>
      <c r="H14" s="42">
        <f>COUNTIFS('My trades'!$C$2:$C$201,$B$14,'My trades'!$E$2:$E$201,'Number of trades exchanged'!H2)</f>
        <v>2</v>
      </c>
      <c r="I14" s="42">
        <f>COUNTIFS('My trades'!$C$2:$C$201,$B$14,'My trades'!$E$2:$E$201,'Number of trades exchanged'!I2)</f>
        <v>0</v>
      </c>
      <c r="J14" s="42">
        <f>COUNTIFS('My trades'!$C$2:$C$201,$B$14,'My trades'!$E$2:$E$201,'Number of trades exchanged'!J2)</f>
        <v>1</v>
      </c>
      <c r="K14" s="26">
        <f>COUNTIFS('My trades'!$C$2:$C$201,$B$14,'My trades'!$E$2:$E$201,'Number of trades exchanged'!K2)</f>
        <v>2</v>
      </c>
      <c r="L14" s="26">
        <f>COUNTIFS('My trades'!$C$2:$C$201,$B$14,'My trades'!$E$2:$E$201,'Number of trades exchanged'!L2)</f>
        <v>0</v>
      </c>
      <c r="M14" s="26">
        <f t="shared" si="0"/>
        <v>16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38" ht="19.5">
      <c r="A15" s="65"/>
      <c r="B15" s="37" t="str">
        <v>United Kingdom</v>
      </c>
      <c r="C15" s="26">
        <f>COUNTIFS('My trades'!$C$2:$C$201,$B$15,'My trades'!$E$2:$E$201,'Number of trades exchanged'!C2)</f>
        <v>1</v>
      </c>
      <c r="D15" s="26">
        <f>COUNTIFS('My trades'!$C$2:$C$201,$B$15,'My trades'!$E$2:$E$201,'Number of trades exchanged'!D2)</f>
        <v>2</v>
      </c>
      <c r="E15" s="26">
        <f>COUNTIFS('My trades'!$C$2:$C$201,$B$15,'My trades'!$E$2:$E$201,'Number of trades exchanged'!E2)</f>
        <v>0</v>
      </c>
      <c r="F15" s="26">
        <f>COUNTIFS('My trades'!$C$2:$C$201,$B$15,'My trades'!$E$2:$E$201,'Number of trades exchanged'!F2)</f>
        <v>1</v>
      </c>
      <c r="G15" s="26">
        <f>COUNTIFS('My trades'!$C$2:$C$201,$B$15,'My trades'!$E$2:$E$201,'Number of trades exchanged'!G2)</f>
        <v>0</v>
      </c>
      <c r="H15" s="26">
        <f>COUNTIFS('My trades'!$C$2:$C$201,$B$15,'My trades'!$E$2:$E$201,'Number of trades exchanged'!H2)</f>
        <v>1</v>
      </c>
      <c r="I15" s="41">
        <f>COUNTIFS('My trades'!$C$2:$C$201,$B$15,'My trades'!$E$2:$E$201,'Number of trades exchanged'!I2)</f>
        <v>2</v>
      </c>
      <c r="J15" s="26">
        <f>COUNTIFS('My trades'!$C$2:$C$201,$B$15,'My trades'!$E$2:$E$201,'Number of trades exchanged'!J2)</f>
        <v>0</v>
      </c>
      <c r="K15" s="26">
        <f>COUNTIFS('My trades'!$C$2:$C$201,$B$15,'My trades'!$E$2:$E$201,'Number of trades exchanged'!K2)</f>
        <v>1</v>
      </c>
      <c r="L15" s="26">
        <f>COUNTIFS('My trades'!$C$2:$C$201,$B$15,'My trades'!$E$2:$E$201,'Number of trades exchanged'!L2)</f>
        <v>0</v>
      </c>
      <c r="M15" s="26">
        <f t="shared" si="0"/>
        <v>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38" ht="19.5">
      <c r="A16" s="65"/>
      <c r="B16" s="37" t="str">
        <v>Brazil</v>
      </c>
      <c r="C16" s="26">
        <f>COUNTIFS('My trades'!$C$2:$C$201,$B$16,'My trades'!$E$2:$E$201,'Number of trades exchanged'!C2)</f>
        <v>2</v>
      </c>
      <c r="D16" s="26">
        <f>COUNTIFS('My trades'!$C$2:$C$201,$B$16,'My trades'!$E$2:$E$201,'Number of trades exchanged'!D2)</f>
        <v>3</v>
      </c>
      <c r="E16" s="26">
        <f>COUNTIFS('My trades'!$C$2:$C$201,$B$16,'My trades'!$E$2:$E$201,'Number of trades exchanged'!E2)</f>
        <v>1</v>
      </c>
      <c r="F16" s="26">
        <f>COUNTIFS('My trades'!$C$2:$C$201,$B$16,'My trades'!$E$2:$E$201,'Number of trades exchanged'!F2)</f>
        <v>1</v>
      </c>
      <c r="G16" s="26">
        <f>COUNTIFS('My trades'!$C$2:$C$201,$B$16,'My trades'!$E$2:$E$201,'Number of trades exchanged'!G2)</f>
        <v>0</v>
      </c>
      <c r="H16" s="26">
        <f>COUNTIFS('My trades'!$C$2:$C$201,$B$16,'My trades'!$E$2:$E$201,'Number of trades exchanged'!H2)</f>
        <v>1</v>
      </c>
      <c r="I16" s="26">
        <f>COUNTIFS('My trades'!$C$2:$C$201,$B$16,'My trades'!$E$2:$E$201,'Number of trades exchanged'!I2)</f>
        <v>4</v>
      </c>
      <c r="J16" s="26">
        <f>COUNTIFS('My trades'!$C$2:$C$201,$B$16,'My trades'!$E$2:$E$201,'Number of trades exchanged'!J2)</f>
        <v>2</v>
      </c>
      <c r="K16" s="26">
        <f>COUNTIFS('My trades'!$C$2:$C$201,$B$16,'My trades'!$E$2:$E$201,'Number of trades exchanged'!K2)</f>
        <v>2</v>
      </c>
      <c r="L16" s="26">
        <f>COUNTIFS('My trades'!$C$2:$C$201,$B$16,'My trades'!$E$2:$E$201,'Number of trades exchanged'!L2)</f>
        <v>0</v>
      </c>
      <c r="M16" s="26">
        <f t="shared" si="0"/>
        <v>16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ht="19.5">
      <c r="A17" s="65"/>
      <c r="B17" s="37" t="str">
        <v>United States</v>
      </c>
      <c r="C17" s="26">
        <f>COUNTIFS('My trades'!$C$2:$C$201,$B$17,'My trades'!$E$2:$E$201,'Number of trades exchanged'!C2)</f>
        <v>2</v>
      </c>
      <c r="D17" s="26">
        <f>COUNTIFS('My trades'!$C$2:$C$201,$B$17,'My trades'!$E$2:$E$201,'Number of trades exchanged'!D2)</f>
        <v>1</v>
      </c>
      <c r="E17" s="26">
        <f>COUNTIFS('My trades'!$C$2:$C$201,$B$17,'My trades'!$E$2:$E$201,'Number of trades exchanged'!E2)</f>
        <v>3</v>
      </c>
      <c r="F17" s="26">
        <f>COUNTIFS('My trades'!$C$2:$C$201,$B$17,'My trades'!$E$2:$E$201,'Number of trades exchanged'!F2)</f>
        <v>2</v>
      </c>
      <c r="G17" s="26">
        <f>COUNTIFS('My trades'!$C$2:$C$201,$B$17,'My trades'!$E$2:$E$201,'Number of trades exchanged'!G2)</f>
        <v>0</v>
      </c>
      <c r="H17" s="26">
        <f>COUNTIFS('My trades'!$C$2:$C$201,$B$17,'My trades'!$E$2:$E$201,'Number of trades exchanged'!H2)</f>
        <v>1</v>
      </c>
      <c r="I17" s="26">
        <f>COUNTIFS('My trades'!$C$2:$C$201,$B$17,'My trades'!$E$2:$E$201,'Number of trades exchanged'!I2)</f>
        <v>1</v>
      </c>
      <c r="J17" s="26">
        <f>COUNTIFS('My trades'!$C$2:$C$201,$B$17,'My trades'!$E$2:$E$201,'Number of trades exchanged'!J2)</f>
        <v>3</v>
      </c>
      <c r="K17" s="26">
        <f>COUNTIFS('My trades'!$C$2:$C$201,$B$17,'My trades'!$E$2:$E$201,'Number of trades exchanged'!K2)</f>
        <v>0</v>
      </c>
      <c r="L17" s="26">
        <f>COUNTIFS('My trades'!$C$2:$C$201,$B$17,'My trades'!$E$2:$E$201,'Number of trades exchanged'!L2)</f>
        <v>3</v>
      </c>
      <c r="M17" s="26">
        <f t="shared" si="0"/>
        <v>16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19.5">
      <c r="A18" s="65"/>
      <c r="B18" s="37" t="str">
        <v>Taiwan</v>
      </c>
      <c r="C18" s="42">
        <f>COUNTIFS('My trades'!$C$2:$C$201,$B$18,'My trades'!$E$2:$E$201,'Number of trades exchanged'!C2)</f>
        <v>0</v>
      </c>
      <c r="D18" s="42">
        <f>COUNTIFS('My trades'!$C$2:$C$201,$B$18,'My trades'!$E$2:$E$201,'Number of trades exchanged'!D2)</f>
        <v>0</v>
      </c>
      <c r="E18" s="42">
        <f>COUNTIFS('My trades'!$C$2:$C$201,$B$18,'My trades'!$E$2:$E$201,'Number of trades exchanged'!E2)</f>
        <v>1</v>
      </c>
      <c r="F18" s="42">
        <f>COUNTIFS('My trades'!$C$2:$C$201,$B$18,'My trades'!$E$2:$E$201,'Number of trades exchanged'!F2)</f>
        <v>1</v>
      </c>
      <c r="G18" s="42">
        <f>COUNTIFS('My trades'!$C$2:$C$201,$B$18,'My trades'!$E$2:$E$201,'Number of trades exchanged'!G2)</f>
        <v>1</v>
      </c>
      <c r="H18" s="42">
        <f>COUNTIFS('My trades'!$C$2:$C$201,$B$18,'My trades'!$E$2:$E$201,'Number of trades exchanged'!H2)</f>
        <v>0</v>
      </c>
      <c r="I18" s="42">
        <f>COUNTIFS('My trades'!$C$2:$C$201,$B$18,'My trades'!$E$2:$E$201,'Number of trades exchanged'!I2)</f>
        <v>1</v>
      </c>
      <c r="J18" s="42">
        <f>COUNTIFS('My trades'!$C$2:$C$201,$B$18,'My trades'!$E$2:$E$201,'Number of trades exchanged'!J2)</f>
        <v>0</v>
      </c>
      <c r="K18" s="26">
        <f>COUNTIFS('My trades'!$C$2:$C$201,$B$18,'My trades'!$E$2:$E$201,'Number of trades exchanged'!K2)</f>
        <v>2</v>
      </c>
      <c r="L18" s="26">
        <f>COUNTIFS('My trades'!$C$2:$C$201,$B$18,'My trades'!$E$2:$E$201,'Number of trades exchanged'!L2)</f>
        <v>2</v>
      </c>
      <c r="M18" s="26">
        <f t="shared" si="0"/>
        <v>8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ht="20.25" thickBot="1">
      <c r="A19" s="66"/>
      <c r="B19" s="39" t="str">
        <v>Australia</v>
      </c>
      <c r="C19" s="38">
        <f>COUNTIFS('My trades'!$C$2:$C$201,$B$19,'My trades'!$E$2:$E$201,'Number of trades exchanged'!C2)</f>
        <v>3</v>
      </c>
      <c r="D19" s="38">
        <f>COUNTIFS('My trades'!$C$2:$C$201,$B$19,'My trades'!$E$2:$E$201,'Number of trades exchanged'!D2)</f>
        <v>2</v>
      </c>
      <c r="E19" s="38">
        <f>COUNTIFS('My trades'!$C$2:$C$201,$B$19,'My trades'!$E$2:$E$201,'Number of trades exchanged'!E2)</f>
        <v>1</v>
      </c>
      <c r="F19" s="38">
        <f>COUNTIFS('My trades'!$C$2:$C$201,$B$19,'My trades'!$E$2:$E$201,'Number of trades exchanged'!F2)</f>
        <v>0</v>
      </c>
      <c r="G19" s="38">
        <f>COUNTIFS('My trades'!$C$2:$C$201,$B$19,'My trades'!$E$2:$E$201,'Number of trades exchanged'!G2)</f>
        <v>3</v>
      </c>
      <c r="H19" s="38">
        <f>COUNTIFS('My trades'!$C$2:$C$201,$B$19,'My trades'!$E$2:$E$201,'Number of trades exchanged'!H2)</f>
        <v>1</v>
      </c>
      <c r="I19" s="38">
        <f>COUNTIFS('My trades'!$C$2:$C$201,$B$19,'My trades'!$E$2:$E$201,'Number of trades exchanged'!I2)</f>
        <v>3</v>
      </c>
      <c r="J19" s="38">
        <f>COUNTIFS('My trades'!$C$2:$C$201,$B$19,'My trades'!$E$2:$E$201,'Number of trades exchanged'!J2)</f>
        <v>1</v>
      </c>
      <c r="K19" s="38">
        <f>COUNTIFS('My trades'!$C$2:$C$201,$B$19,'My trades'!$E$2:$E$201,'Number of trades exchanged'!K2)</f>
        <v>0</v>
      </c>
      <c r="L19" s="38">
        <f>COUNTIFS('My trades'!$C$2:$C$201,$B$19,'My trades'!$E$2:$E$201,'Number of trades exchanged'!L2)</f>
        <v>2</v>
      </c>
      <c r="M19" s="26">
        <f t="shared" si="0"/>
        <v>16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ht="20.25" thickTop="1">
      <c r="B20" s="33" t="s">
        <v>258</v>
      </c>
      <c r="C20" s="26">
        <f>SUM(C3:C19)</f>
        <v>26</v>
      </c>
      <c r="D20" s="26">
        <f t="shared" ref="D20:L20" si="1">SUM(D3:D19)</f>
        <v>22</v>
      </c>
      <c r="E20" s="26">
        <f t="shared" si="1"/>
        <v>21</v>
      </c>
      <c r="F20" s="26">
        <f t="shared" si="1"/>
        <v>18</v>
      </c>
      <c r="G20" s="26">
        <f t="shared" si="1"/>
        <v>21</v>
      </c>
      <c r="H20" s="26">
        <f t="shared" si="1"/>
        <v>27</v>
      </c>
      <c r="I20" s="26">
        <f t="shared" si="1"/>
        <v>20</v>
      </c>
      <c r="J20" s="26">
        <f t="shared" si="1"/>
        <v>14</v>
      </c>
      <c r="K20" s="26">
        <f t="shared" si="1"/>
        <v>15</v>
      </c>
      <c r="L20" s="26">
        <f t="shared" si="1"/>
        <v>16</v>
      </c>
      <c r="M20" s="40">
        <f>SUM(C20:L20)</f>
        <v>200</v>
      </c>
      <c r="N20" s="33" t="s">
        <v>257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s="8" customFormat="1"/>
    <row r="22" spans="1:38" s="8" customFormat="1"/>
    <row r="23" spans="1:38" s="8" customFormat="1"/>
    <row r="24" spans="1:38" s="8" customFormat="1" ht="19.5">
      <c r="A24" s="70"/>
      <c r="B24" s="70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38" s="8" customFormat="1" ht="19.5">
      <c r="A25" s="70"/>
      <c r="B25" s="70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38" s="8" customFormat="1" ht="19.5">
      <c r="A26" s="59"/>
      <c r="B26" s="45"/>
    </row>
    <row r="27" spans="1:38" s="8" customFormat="1" ht="19.5">
      <c r="A27" s="59"/>
      <c r="B27" s="45"/>
    </row>
    <row r="28" spans="1:38" s="8" customFormat="1" ht="19.5">
      <c r="A28" s="59"/>
      <c r="B28" s="45"/>
    </row>
    <row r="29" spans="1:38" s="8" customFormat="1" ht="19.5">
      <c r="A29" s="59"/>
      <c r="B29" s="45"/>
    </row>
    <row r="30" spans="1:38" s="8" customFormat="1" ht="19.5">
      <c r="A30" s="59"/>
      <c r="B30" s="45"/>
    </row>
    <row r="31" spans="1:38" s="8" customFormat="1" ht="19.5">
      <c r="A31" s="59"/>
      <c r="B31" s="45"/>
    </row>
    <row r="32" spans="1:38" s="8" customFormat="1" ht="19.5">
      <c r="A32" s="59"/>
      <c r="B32" s="45"/>
    </row>
    <row r="33" spans="1:14" s="8" customFormat="1" ht="19.5">
      <c r="A33" s="59"/>
      <c r="B33" s="45"/>
    </row>
    <row r="34" spans="1:14" s="8" customFormat="1" ht="19.5">
      <c r="A34" s="59"/>
      <c r="B34" s="45"/>
    </row>
    <row r="35" spans="1:14" s="8" customFormat="1" ht="19.5">
      <c r="A35" s="59"/>
      <c r="B35" s="45"/>
    </row>
    <row r="36" spans="1:14" s="8" customFormat="1" ht="19.5">
      <c r="A36" s="59"/>
      <c r="B36" s="45"/>
    </row>
    <row r="37" spans="1:14" s="8" customFormat="1" ht="19.5">
      <c r="A37" s="59"/>
      <c r="B37" s="45"/>
    </row>
    <row r="38" spans="1:14" s="8" customFormat="1" ht="19.5">
      <c r="A38" s="59"/>
      <c r="B38" s="45"/>
    </row>
    <row r="39" spans="1:14" s="8" customFormat="1" ht="19.5">
      <c r="A39" s="59"/>
      <c r="B39" s="45"/>
    </row>
    <row r="40" spans="1:14" s="8" customFormat="1" ht="19.5">
      <c r="A40" s="59"/>
      <c r="B40" s="45"/>
    </row>
    <row r="41" spans="1:14" s="8" customFormat="1" ht="19.5">
      <c r="A41" s="59"/>
      <c r="B41" s="45"/>
    </row>
    <row r="42" spans="1:14" s="8" customFormat="1" ht="19.5">
      <c r="A42" s="59"/>
      <c r="B42" s="45"/>
    </row>
    <row r="43" spans="1:14" s="8" customFormat="1" ht="19.5">
      <c r="B43" s="46"/>
      <c r="N43" s="46"/>
    </row>
    <row r="44" spans="1:14" s="8" customFormat="1"/>
    <row r="45" spans="1:14" s="8" customFormat="1"/>
    <row r="46" spans="1:14" s="8" customFormat="1"/>
    <row r="47" spans="1:14" s="8" customFormat="1"/>
    <row r="48" spans="1:14" s="8" customFormat="1"/>
  </sheetData>
  <mergeCells count="6">
    <mergeCell ref="A26:A42"/>
    <mergeCell ref="A1:B2"/>
    <mergeCell ref="A3:A19"/>
    <mergeCell ref="C1:L1"/>
    <mergeCell ref="A24:B25"/>
    <mergeCell ref="C24:L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191B6-2A65-4564-9260-89772FB5C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My trades</vt:lpstr>
      <vt:lpstr>Stock exchanges</vt:lpstr>
      <vt:lpstr>Profit insights</vt:lpstr>
      <vt:lpstr>Number of trades exchanged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255</dc:creator>
  <cp:keywords/>
  <dc:description/>
  <cp:lastModifiedBy>Hp 255</cp:lastModifiedBy>
  <cp:revision/>
  <dcterms:created xsi:type="dcterms:W3CDTF">2023-05-26T15:43:04Z</dcterms:created>
  <dcterms:modified xsi:type="dcterms:W3CDTF">2023-10-13T14:13:25Z</dcterms:modified>
  <cp:category/>
  <cp:contentStatus/>
</cp:coreProperties>
</file>