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C:\Users\Hp 255\Desktop\Master Data Analyst\Corso 3 - Inferenza statistica con excel\Progetto 3\"/>
    </mc:Choice>
  </mc:AlternateContent>
  <xr:revisionPtr revIDLastSave="0" documentId="13_ncr:1_{E950D256-A948-4E0B-ABC9-A89542F4AA79}" xr6:coauthVersionLast="47" xr6:coauthVersionMax="47" xr10:uidLastSave="{00000000-0000-0000-0000-000000000000}"/>
  <bookViews>
    <workbookView xWindow="-120" yWindow="-120" windowWidth="20730" windowHeight="11160" activeTab="3" xr2:uid="{B163BA38-093A-4A25-816F-FAECAA15F05A}"/>
  </bookViews>
  <sheets>
    <sheet name="Parameters" sheetId="1" r:id="rId1"/>
    <sheet name="Data" sheetId="2" r:id="rId2"/>
    <sheet name="Sample" sheetId="3" r:id="rId3"/>
    <sheet name="Statistical insight" sheetId="4" r:id="rId4"/>
    <sheet name="(Un)correlated variables" sheetId="5" r:id="rId5"/>
    <sheet name="Linear regression" sheetId="6" r:id="rId6"/>
  </sheets>
  <definedNames>
    <definedName name="_xlnm._FilterDatabase" localSheetId="2" hidden="1">Sample!$C$1:$C$389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3" i="4" l="1"/>
  <c r="B5" i="4"/>
  <c r="B1" i="4"/>
  <c r="E2" i="6" a="1"/>
  <c r="E2" i="6" s="1"/>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 i="2"/>
  <c r="H2" i="5"/>
  <c r="C3" i="5"/>
  <c r="C4" i="5"/>
  <c r="C5" i="5"/>
  <c r="C6" i="5"/>
  <c r="C7" i="5"/>
  <c r="C8" i="5"/>
  <c r="C9" i="5"/>
  <c r="C10" i="5"/>
  <c r="C11" i="5"/>
  <c r="C12" i="5"/>
  <c r="C13" i="5"/>
  <c r="C14" i="5"/>
  <c r="C15" i="5"/>
  <c r="C16" i="5"/>
  <c r="C17" i="5"/>
  <c r="C18" i="5"/>
  <c r="C19" i="5"/>
  <c r="C20" i="5"/>
  <c r="C21" i="5"/>
  <c r="C22" i="5"/>
  <c r="C23" i="5"/>
  <c r="C24" i="5"/>
  <c r="C25" i="5"/>
  <c r="C26" i="5"/>
  <c r="C27" i="5"/>
  <c r="C28" i="5"/>
  <c r="C29" i="5"/>
  <c r="H4" i="5" s="1"/>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2" i="5"/>
  <c r="C3" i="3" l="1"/>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 i="3"/>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 i="2"/>
  <c r="B2" i="4" l="1"/>
  <c r="B3" i="4"/>
  <c r="C6" i="4" l="1"/>
  <c r="B6" i="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<sst xmlns="http://schemas.openxmlformats.org/spreadsheetml/2006/main" count="33" uniqueCount="29">
  <si>
    <t>Probability</t>
  </si>
  <si>
    <t>Mean</t>
  </si>
  <si>
    <t>StdDev</t>
  </si>
  <si>
    <t>Data</t>
  </si>
  <si>
    <t>Groups</t>
  </si>
  <si>
    <t>Sample data</t>
  </si>
  <si>
    <t>STDDEV</t>
  </si>
  <si>
    <t>EXPECTED VALUE</t>
  </si>
  <si>
    <t>COUNT</t>
  </si>
  <si>
    <t>CONFIDENCE RATE</t>
  </si>
  <si>
    <t>Estimation of p parameter</t>
  </si>
  <si>
    <t>Confidence interval</t>
  </si>
  <si>
    <t>Number of cats</t>
  </si>
  <si>
    <t>Age of partner</t>
  </si>
  <si>
    <t>Correlation age and cats</t>
  </si>
  <si>
    <t>Desired correlation(r)</t>
  </si>
  <si>
    <t>Actual correlation(r')</t>
  </si>
  <si>
    <t>Assenza di Correlazione</t>
  </si>
  <si>
    <t>Correlazione positiva</t>
  </si>
  <si>
    <t>Y (age)</t>
  </si>
  <si>
    <t>X (rank)</t>
  </si>
  <si>
    <t>Ipotesi Età</t>
  </si>
  <si>
    <t>Età stimata</t>
  </si>
  <si>
    <t>Con il coefficiente di regressione=0,9484, quindi molto vicino a 1, si evidenzia il buon adattamento del modello di regressione. Come si nota dalla retta di regressione i dati in esame avranno una tendenza positiva per X superiori a quelli del campione. Infatti nel calcolo dell'estrapolazione per il 160° individuo abbiamo un'età in linea con i dati osservati: all'aumentare del Rank (ordinamento dei soggetti), aumentano le età anagrafiche degli individui soggetti all'indagine statistica. Si tratta in realtà di un'indagine poco significante e/o scontata dal punto di vista informativo , ma bene spiega la significatività di media e varianza scelte nel primo tab, dati dai quali è stata generata la tabella statistica oggetto di studio del Progetto: i due valori sono molto contenuti per cui otteniamo che il 160° individuo della statistica avrà 55 anni. Con media e varianza molto più elevate avremmo avuto certamente un'età altrettanto elevata, se non impossibile dal punto di vista della longevità umana, quindi poco realistica.</t>
  </si>
  <si>
    <t>Conoscendo la varianza della popolazione, per calcolare l'intervallo di confidenza è possibile utilizzare la distribuzione Normale. Quindi ponendo come di solito la probabilità  a=0,05, avrò che Z è calcolata con la formula INV.NORM.S(0,975), poichè 0,975 è il complementare a 1 della probabilità a=0,05 + a/2 che è uguale a 0,025. Applicando la formula con tale probabilità per ogni coda, si ottengono il limite inferiore e il limite superiore di un certo intervallo di confidenza che contiene la media. Partendo dai dati assegnati nel primo tab, in questo studio abbiamo una media campionaria che poco si discosta da quella assegnata alla popolazione di partenza, pertanto si dimostra la validità dello studio inferenziale.</t>
  </si>
  <si>
    <t>Campione n=10</t>
  </si>
  <si>
    <t>MEDIA</t>
  </si>
  <si>
    <t>ALTRI GRUPPI DELLA POPOLAZIONE</t>
  </si>
  <si>
    <t>Sappiamo che la varianza identifica la dispersione dei valori della variabile attorno al valor medio. Quanto più piccola è la varianza, tanto più i valori della variabile sono concentrati attorno al valor medio. Nel primo tab la deviazione standard scelta è molto bassa, per cui tutti i valori della distribuzione non si discostano dalla media della popolazione, questo comporta che tale caratteristica sarà presente anche in un campione estratto casualmente dalla stessa popolazione. Per cui la media del campione non sarà molto diversa da quella della popolazione. Si conclude quindi che la precisione di un campione è maggiore quando la popolazione da cui è stato estratto è tendenzialmente omogenea. Nel nostro caso il campione ha n=56, rispetto a n=250 della popolazione, quindi il campione è circa il 22% della popolazione, potrebbe sembrare non rappresentativo della popolazione rispetto a campioni più grandi, ma vista la deviazione standard scelta (bassa), la popolazione ha una distribuzione con pochi scarti dalla media. Questo farà sì che anche i campioni estratti avranno scarti bassi e valore medio non molto distante da quello della popolazione. A dimostrazione di quanto detto, a sinistra abbiamo il valore medio degli altri gruppi della popolazione non considerati in questo tab, mentre a destra un campione estratto casualmente di n=10. In tutti i campioni, sia in quelli con dimensione simile al campione di studio nel tab che in quello molto più piccolo, la media ottenuta ha un valore comunque non molto distante da quello della popolazione. Ciò è possibile con una devizione standard abbastanza contenuta.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</si>
</sst>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scheme val="minor"/>
    </font>
    <font>
      <sz val="12"/>
      <color theme="4"/>
      <name val="Comic Sans MS"/>
      <family val="4"/>
    </font>
    <font>
      <sz val="12"/>
      <color rgb="FF0070C0"/>
      <name val="Comic Sans MS"/>
      <family val="4"/>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6">
    <border>
      <left/>
      <right/>
      <top/>
      <bottom/>
      <diagonal/>
    </border>
    <border>
      <left style="double">
        <color auto="1"/>
      </left>
      <right style="double">
        <color auto="1"/>
      </right>
      <top style="double">
        <color auto="1"/>
      </top>
      <bottom style="double">
        <color auto="1"/>
      </bottom>
      <diagonal/>
    </border>
    <border>
      <left style="double">
        <color auto="1"/>
      </left>
      <right style="thin">
        <color auto="1"/>
      </right>
      <top style="thin">
        <color auto="1"/>
      </top>
      <bottom style="thin">
        <color auto="1"/>
      </bottom>
      <diagonal/>
    </border>
    <border>
      <left style="thin">
        <color auto="1"/>
      </left>
      <right style="thin">
        <color auto="1"/>
      </right>
      <top style="double">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s>
  <cellStyleXfs count="2">
    <xf numFmtId="0" fontId="0" fillId="0" borderId="0"/>
    <xf numFmtId="9" fontId="1" fillId="0" borderId="0" applyFont="0" applyFill="0" applyBorder="0" applyAlignment="0" applyProtection="0"/>
  </cellStyleXfs>
  <cellXfs count="45">
    <xf numFmtId="0" fontId="0" fillId="0" borderId="0" xfId="0"/>
    <xf numFmtId="0" fontId="2" fillId="0" borderId="1" xfId="0" applyFont="1" applyBorder="1"/>
    <xf numFmtId="2" fontId="0" fillId="0" borderId="2" xfId="1" applyNumberFormat="1" applyFont="1" applyBorder="1"/>
    <xf numFmtId="0" fontId="0" fillId="0" borderId="2" xfId="0" applyBorder="1"/>
    <xf numFmtId="0" fontId="0" fillId="2" borderId="0" xfId="0" applyFill="1"/>
    <xf numFmtId="0" fontId="0" fillId="0" borderId="3" xfId="0" applyBorder="1"/>
    <xf numFmtId="0" fontId="0" fillId="0" borderId="4" xfId="0" applyBorder="1"/>
    <xf numFmtId="1" fontId="0" fillId="0" borderId="3" xfId="0" applyNumberFormat="1" applyBorder="1"/>
    <xf numFmtId="1" fontId="0" fillId="0" borderId="4" xfId="0" applyNumberFormat="1" applyBorder="1"/>
    <xf numFmtId="1" fontId="2" fillId="0" borderId="1" xfId="0" applyNumberFormat="1" applyFont="1" applyBorder="1"/>
    <xf numFmtId="1" fontId="0" fillId="0" borderId="3" xfId="0" applyNumberFormat="1" applyBorder="1" applyAlignment="1">
      <alignment horizontal="right"/>
    </xf>
    <xf numFmtId="1" fontId="0" fillId="0" borderId="4" xfId="0" applyNumberFormat="1" applyBorder="1" applyAlignment="1">
      <alignment horizontal="right"/>
    </xf>
    <xf numFmtId="1" fontId="0" fillId="2" borderId="0" xfId="0" applyNumberFormat="1" applyFill="1"/>
    <xf numFmtId="1" fontId="0" fillId="0" borderId="0" xfId="0" applyNumberFormat="1"/>
    <xf numFmtId="0" fontId="0" fillId="0" borderId="5" xfId="0" applyBorder="1"/>
    <xf numFmtId="1" fontId="0" fillId="0" borderId="5" xfId="0" applyNumberFormat="1" applyBorder="1"/>
    <xf numFmtId="1" fontId="0" fillId="0" borderId="6" xfId="0" applyNumberFormat="1" applyBorder="1"/>
    <xf numFmtId="0" fontId="0" fillId="3" borderId="4" xfId="0" applyFill="1" applyBorder="1"/>
    <xf numFmtId="0" fontId="0" fillId="0" borderId="6" xfId="0" applyBorder="1"/>
    <xf numFmtId="0" fontId="3" fillId="0" borderId="1" xfId="0" applyFont="1" applyBorder="1"/>
    <xf numFmtId="2" fontId="0" fillId="0" borderId="5" xfId="0" applyNumberFormat="1" applyBorder="1"/>
    <xf numFmtId="0" fontId="0" fillId="0" borderId="15" xfId="0" applyBorder="1"/>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0" xfId="0"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2" borderId="7" xfId="0" applyFill="1" applyBorder="1" applyAlignment="1">
      <alignment horizontal="center" vertical="center" wrapText="1"/>
    </xf>
    <xf numFmtId="0" fontId="0" fillId="2" borderId="8" xfId="0" applyFill="1" applyBorder="1" applyAlignment="1">
      <alignment horizontal="center" vertical="center" wrapText="1"/>
    </xf>
    <xf numFmtId="0" fontId="0" fillId="2" borderId="9" xfId="0" applyFill="1" applyBorder="1" applyAlignment="1">
      <alignment horizontal="center" vertical="center" wrapText="1"/>
    </xf>
    <xf numFmtId="0" fontId="0" fillId="2" borderId="10" xfId="0" applyFill="1" applyBorder="1" applyAlignment="1">
      <alignment horizontal="center" vertical="center" wrapText="1"/>
    </xf>
    <xf numFmtId="0" fontId="0" fillId="2" borderId="0" xfId="0" applyFill="1" applyAlignment="1">
      <alignment horizontal="center" vertical="center" wrapText="1"/>
    </xf>
    <xf numFmtId="0" fontId="0" fillId="2" borderId="11" xfId="0" applyFill="1" applyBorder="1" applyAlignment="1">
      <alignment horizontal="center" vertical="center" wrapText="1"/>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14" xfId="0" applyFill="1" applyBorder="1" applyAlignment="1">
      <alignment horizontal="center" vertical="center" wrapText="1"/>
    </xf>
    <xf numFmtId="0" fontId="0" fillId="2" borderId="0" xfId="0" applyFill="1" applyBorder="1" applyAlignment="1">
      <alignment horizontal="center" vertical="center" wrapText="1"/>
    </xf>
    <xf numFmtId="0" fontId="0" fillId="2" borderId="4" xfId="0" applyFill="1" applyBorder="1"/>
    <xf numFmtId="1" fontId="0" fillId="2" borderId="4" xfId="0" applyNumberFormat="1" applyFill="1" applyBorder="1"/>
    <xf numFmtId="0" fontId="0" fillId="2" borderId="4" xfId="0" applyFill="1" applyBorder="1" applyAlignment="1">
      <alignment horizontal="center" vertical="center" wrapText="1"/>
    </xf>
    <xf numFmtId="0" fontId="0" fillId="2" borderId="4" xfId="0" applyFill="1" applyBorder="1" applyAlignment="1">
      <alignment horizontal="center" vertical="center"/>
    </xf>
  </cellXfs>
  <cellStyles count="2">
    <cellStyle name="Normale" xfId="0" builtinId="0"/>
    <cellStyle name="Percentual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247594050743664E-2"/>
          <c:y val="4.4893378226711557E-2"/>
          <c:w val="0.87753018372703417"/>
          <c:h val="0.84647242327032357"/>
        </c:manualLayout>
      </c:layout>
      <c:scatterChart>
        <c:scatterStyle val="lineMarker"/>
        <c:varyColors val="0"/>
        <c:ser>
          <c:idx val="0"/>
          <c:order val="0"/>
          <c:tx>
            <c:strRef>
              <c:f>'Linear regression'!$B$1</c:f>
              <c:strCache>
                <c:ptCount val="1"/>
                <c:pt idx="0">
                  <c:v>X (rank)</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0.34936789151356079"/>
                  <c:y val="6.944444444444444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trendlineLbl>
          </c:trendline>
          <c:xVal>
            <c:numRef>
              <c:f>'Linear regression'!$A$2:$A$113</c:f>
              <c:numCache>
                <c:formatCode>0</c:formatCode>
                <c:ptCount val="112"/>
                <c:pt idx="0">
                  <c:v>18.937090562550502</c:v>
                </c:pt>
                <c:pt idx="1">
                  <c:v>21</c:v>
                </c:pt>
                <c:pt idx="2">
                  <c:v>21.892363520850168</c:v>
                </c:pt>
                <c:pt idx="3">
                  <c:v>22.712363520850165</c:v>
                </c:pt>
                <c:pt idx="4">
                  <c:v>22.866544645951173</c:v>
                </c:pt>
                <c:pt idx="5">
                  <c:v>23</c:v>
                </c:pt>
                <c:pt idx="6">
                  <c:v>23.037090562550503</c:v>
                </c:pt>
                <c:pt idx="7">
                  <c:v>24.104727041700333</c:v>
                </c:pt>
                <c:pt idx="8">
                  <c:v>24.352363520850165</c:v>
                </c:pt>
                <c:pt idx="9">
                  <c:v>25.574181125101003</c:v>
                </c:pt>
                <c:pt idx="10">
                  <c:v>26</c:v>
                </c:pt>
                <c:pt idx="11">
                  <c:v>26</c:v>
                </c:pt>
                <c:pt idx="12">
                  <c:v>27</c:v>
                </c:pt>
                <c:pt idx="13">
                  <c:v>27</c:v>
                </c:pt>
                <c:pt idx="14">
                  <c:v>27.461817604250836</c:v>
                </c:pt>
                <c:pt idx="15">
                  <c:v>28</c:v>
                </c:pt>
                <c:pt idx="16">
                  <c:v>28.034181125101004</c:v>
                </c:pt>
                <c:pt idx="17">
                  <c:v>28.034181125101004</c:v>
                </c:pt>
                <c:pt idx="18">
                  <c:v>28.204727041700334</c:v>
                </c:pt>
                <c:pt idx="19">
                  <c:v>28.777090562550502</c:v>
                </c:pt>
                <c:pt idx="20">
                  <c:v>29</c:v>
                </c:pt>
                <c:pt idx="21">
                  <c:v>29.921817604250837</c:v>
                </c:pt>
                <c:pt idx="22">
                  <c:v>29.921817604250837</c:v>
                </c:pt>
                <c:pt idx="23">
                  <c:v>30</c:v>
                </c:pt>
                <c:pt idx="24">
                  <c:v>30</c:v>
                </c:pt>
                <c:pt idx="25">
                  <c:v>30</c:v>
                </c:pt>
                <c:pt idx="26">
                  <c:v>30.169454083400669</c:v>
                </c:pt>
                <c:pt idx="27">
                  <c:v>30.246544645951172</c:v>
                </c:pt>
                <c:pt idx="28">
                  <c:v>30.741817604250837</c:v>
                </c:pt>
                <c:pt idx="29">
                  <c:v>30.741817604250837</c:v>
                </c:pt>
                <c:pt idx="30">
                  <c:v>31.066544645951172</c:v>
                </c:pt>
                <c:pt idx="31">
                  <c:v>31.066544645951172</c:v>
                </c:pt>
                <c:pt idx="32">
                  <c:v>31.314181125101005</c:v>
                </c:pt>
                <c:pt idx="33">
                  <c:v>31.484727041700335</c:v>
                </c:pt>
                <c:pt idx="34">
                  <c:v>31.484727041700335</c:v>
                </c:pt>
                <c:pt idx="35">
                  <c:v>31.561817604250837</c:v>
                </c:pt>
                <c:pt idx="36">
                  <c:v>31.80945408340067</c:v>
                </c:pt>
                <c:pt idx="37">
                  <c:v>31.80945408340067</c:v>
                </c:pt>
                <c:pt idx="38">
                  <c:v>32</c:v>
                </c:pt>
                <c:pt idx="39">
                  <c:v>32.629454083400667</c:v>
                </c:pt>
                <c:pt idx="40">
                  <c:v>32.706544645951169</c:v>
                </c:pt>
                <c:pt idx="41">
                  <c:v>32.706544645951169</c:v>
                </c:pt>
                <c:pt idx="42">
                  <c:v>32.954181125101002</c:v>
                </c:pt>
                <c:pt idx="43">
                  <c:v>33</c:v>
                </c:pt>
                <c:pt idx="44">
                  <c:v>33</c:v>
                </c:pt>
                <c:pt idx="45">
                  <c:v>33</c:v>
                </c:pt>
                <c:pt idx="46">
                  <c:v>33</c:v>
                </c:pt>
                <c:pt idx="47">
                  <c:v>33</c:v>
                </c:pt>
                <c:pt idx="48">
                  <c:v>33</c:v>
                </c:pt>
                <c:pt idx="49">
                  <c:v>33.526544645951169</c:v>
                </c:pt>
                <c:pt idx="50">
                  <c:v>33.6970905625505</c:v>
                </c:pt>
                <c:pt idx="51">
                  <c:v>33.944727041700332</c:v>
                </c:pt>
                <c:pt idx="52">
                  <c:v>34</c:v>
                </c:pt>
                <c:pt idx="53">
                  <c:v>34</c:v>
                </c:pt>
                <c:pt idx="54">
                  <c:v>34</c:v>
                </c:pt>
                <c:pt idx="55">
                  <c:v>34</c:v>
                </c:pt>
                <c:pt idx="56">
                  <c:v>34.269454083400667</c:v>
                </c:pt>
                <c:pt idx="57">
                  <c:v>34.34654464595117</c:v>
                </c:pt>
                <c:pt idx="58">
                  <c:v>34.5170905625505</c:v>
                </c:pt>
                <c:pt idx="59">
                  <c:v>34.5170905625505</c:v>
                </c:pt>
                <c:pt idx="60">
                  <c:v>34.841817604250835</c:v>
                </c:pt>
                <c:pt idx="61">
                  <c:v>35</c:v>
                </c:pt>
                <c:pt idx="62">
                  <c:v>35</c:v>
                </c:pt>
                <c:pt idx="63">
                  <c:v>35</c:v>
                </c:pt>
                <c:pt idx="64">
                  <c:v>35.012363520850165</c:v>
                </c:pt>
                <c:pt idx="65">
                  <c:v>35.3370905625505</c:v>
                </c:pt>
                <c:pt idx="66">
                  <c:v>35.661817604250835</c:v>
                </c:pt>
                <c:pt idx="67">
                  <c:v>36</c:v>
                </c:pt>
                <c:pt idx="68">
                  <c:v>36</c:v>
                </c:pt>
                <c:pt idx="69">
                  <c:v>36</c:v>
                </c:pt>
                <c:pt idx="70">
                  <c:v>36</c:v>
                </c:pt>
                <c:pt idx="71">
                  <c:v>36.729454083400668</c:v>
                </c:pt>
                <c:pt idx="72">
                  <c:v>36.80654464595117</c:v>
                </c:pt>
                <c:pt idx="73">
                  <c:v>37</c:v>
                </c:pt>
                <c:pt idx="74">
                  <c:v>37</c:v>
                </c:pt>
                <c:pt idx="75">
                  <c:v>37</c:v>
                </c:pt>
                <c:pt idx="76">
                  <c:v>37</c:v>
                </c:pt>
                <c:pt idx="77">
                  <c:v>38.044727041700334</c:v>
                </c:pt>
                <c:pt idx="78">
                  <c:v>38.044727041700334</c:v>
                </c:pt>
                <c:pt idx="79">
                  <c:v>38.446544645951171</c:v>
                </c:pt>
                <c:pt idx="80">
                  <c:v>38.617090562550501</c:v>
                </c:pt>
                <c:pt idx="81">
                  <c:v>38.941817604250836</c:v>
                </c:pt>
                <c:pt idx="82">
                  <c:v>39</c:v>
                </c:pt>
                <c:pt idx="83">
                  <c:v>39</c:v>
                </c:pt>
                <c:pt idx="84">
                  <c:v>39</c:v>
                </c:pt>
                <c:pt idx="85">
                  <c:v>39.684727041700334</c:v>
                </c:pt>
                <c:pt idx="86">
                  <c:v>40</c:v>
                </c:pt>
                <c:pt idx="87">
                  <c:v>40</c:v>
                </c:pt>
                <c:pt idx="88">
                  <c:v>40</c:v>
                </c:pt>
                <c:pt idx="89">
                  <c:v>40</c:v>
                </c:pt>
                <c:pt idx="90">
                  <c:v>40</c:v>
                </c:pt>
                <c:pt idx="91">
                  <c:v>40.086544645951172</c:v>
                </c:pt>
                <c:pt idx="92">
                  <c:v>40.334181125101004</c:v>
                </c:pt>
                <c:pt idx="93">
                  <c:v>41</c:v>
                </c:pt>
                <c:pt idx="94">
                  <c:v>41.401817604250837</c:v>
                </c:pt>
                <c:pt idx="95">
                  <c:v>42</c:v>
                </c:pt>
                <c:pt idx="96">
                  <c:v>42</c:v>
                </c:pt>
                <c:pt idx="97">
                  <c:v>42</c:v>
                </c:pt>
                <c:pt idx="98">
                  <c:v>42.144727041700335</c:v>
                </c:pt>
                <c:pt idx="99">
                  <c:v>43.041817604250838</c:v>
                </c:pt>
                <c:pt idx="100">
                  <c:v>44</c:v>
                </c:pt>
                <c:pt idx="101">
                  <c:v>44</c:v>
                </c:pt>
                <c:pt idx="102">
                  <c:v>45</c:v>
                </c:pt>
                <c:pt idx="103">
                  <c:v>45</c:v>
                </c:pt>
                <c:pt idx="104">
                  <c:v>45</c:v>
                </c:pt>
                <c:pt idx="105">
                  <c:v>45</c:v>
                </c:pt>
                <c:pt idx="106">
                  <c:v>45.749454083400671</c:v>
                </c:pt>
                <c:pt idx="107">
                  <c:v>47</c:v>
                </c:pt>
                <c:pt idx="108">
                  <c:v>47</c:v>
                </c:pt>
                <c:pt idx="109">
                  <c:v>49</c:v>
                </c:pt>
                <c:pt idx="110">
                  <c:v>50</c:v>
                </c:pt>
                <c:pt idx="111">
                  <c:v>53</c:v>
                </c:pt>
              </c:numCache>
            </c:numRef>
          </c:xVal>
          <c:yVal>
            <c:numRef>
              <c:f>'Linear regression'!$B$2:$B$113</c:f>
              <c:numCache>
                <c:formatCode>General</c:formatCode>
                <c:ptCount val="11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numCache>
            </c:numRef>
          </c:yVal>
          <c:smooth val="0"/>
          <c:extLst>
            <c:ext xmlns:c16="http://schemas.microsoft.com/office/drawing/2014/chart" uri="{C3380CC4-5D6E-409C-BE32-E72D297353CC}">
              <c16:uniqueId val="{00000000-2EFF-42A5-A20B-0B4BFE4A7224}"/>
            </c:ext>
          </c:extLst>
        </c:ser>
        <c:dLbls>
          <c:showLegendKey val="0"/>
          <c:showVal val="0"/>
          <c:showCatName val="0"/>
          <c:showSerName val="0"/>
          <c:showPercent val="0"/>
          <c:showBubbleSize val="0"/>
        </c:dLbls>
        <c:axId val="1424253455"/>
        <c:axId val="1956507503"/>
      </c:scatterChart>
      <c:valAx>
        <c:axId val="1424253455"/>
        <c:scaling>
          <c:orientation val="minMax"/>
          <c:min val="1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956507503"/>
        <c:crosses val="autoZero"/>
        <c:crossBetween val="midCat"/>
      </c:valAx>
      <c:valAx>
        <c:axId val="1956507503"/>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42425345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600075</xdr:colOff>
      <xdr:row>0</xdr:row>
      <xdr:rowOff>161926</xdr:rowOff>
    </xdr:from>
    <xdr:to>
      <xdr:col>14</xdr:col>
      <xdr:colOff>9525</xdr:colOff>
      <xdr:row>15</xdr:row>
      <xdr:rowOff>157163</xdr:rowOff>
    </xdr:to>
    <xdr:graphicFrame macro="">
      <xdr:nvGraphicFramePr>
        <xdr:cNvPr id="2" name="Grafico 1">
          <a:extLst>
            <a:ext uri="{FF2B5EF4-FFF2-40B4-BE49-F238E27FC236}">
              <a16:creationId xmlns:a16="http://schemas.microsoft.com/office/drawing/2014/main" id="{FC0B1F13-6E7A-8BFB-3997-82133C363C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BF41D-16B1-4685-A46C-D16202BA2BB9}">
  <dimension ref="A1:T65"/>
  <sheetViews>
    <sheetView workbookViewId="0">
      <selection activeCell="B1" sqref="B1"/>
    </sheetView>
  </sheetViews>
  <sheetFormatPr defaultRowHeight="15" x14ac:dyDescent="0.25"/>
  <cols>
    <col min="1" max="1" width="13.140625" bestFit="1" customWidth="1"/>
    <col min="3" max="20" width="9.140625" style="4"/>
  </cols>
  <sheetData>
    <row r="1" spans="1:2" ht="21" thickTop="1" thickBot="1" x14ac:dyDescent="0.45">
      <c r="A1" s="1" t="s">
        <v>0</v>
      </c>
      <c r="B1" s="2">
        <v>0.25</v>
      </c>
    </row>
    <row r="2" spans="1:2" ht="21" thickTop="1" thickBot="1" x14ac:dyDescent="0.45">
      <c r="A2" s="1" t="s">
        <v>1</v>
      </c>
      <c r="B2" s="3">
        <v>35</v>
      </c>
    </row>
    <row r="3" spans="1:2" ht="21" thickTop="1" thickBot="1" x14ac:dyDescent="0.45">
      <c r="A3" s="1" t="s">
        <v>2</v>
      </c>
      <c r="B3" s="3">
        <v>7</v>
      </c>
    </row>
    <row r="4" spans="1:2" s="4" customFormat="1" ht="15.75" thickTop="1" x14ac:dyDescent="0.25"/>
    <row r="5" spans="1:2" s="4" customFormat="1" x14ac:dyDescent="0.25"/>
    <row r="6" spans="1:2" s="4" customFormat="1" x14ac:dyDescent="0.25"/>
    <row r="7" spans="1:2" s="4" customFormat="1" x14ac:dyDescent="0.25"/>
    <row r="8" spans="1:2" s="4" customFormat="1" x14ac:dyDescent="0.25"/>
    <row r="9" spans="1:2" s="4" customFormat="1" x14ac:dyDescent="0.25"/>
    <row r="10" spans="1:2" s="4" customFormat="1" x14ac:dyDescent="0.25"/>
    <row r="11" spans="1:2" s="4" customFormat="1" x14ac:dyDescent="0.25"/>
    <row r="12" spans="1:2" s="4" customFormat="1" x14ac:dyDescent="0.25"/>
    <row r="13" spans="1:2" s="4" customFormat="1" x14ac:dyDescent="0.25"/>
    <row r="14" spans="1:2" s="4" customFormat="1" x14ac:dyDescent="0.25"/>
    <row r="15" spans="1:2" s="4" customFormat="1" x14ac:dyDescent="0.25"/>
    <row r="16" spans="1:2" s="4" customFormat="1" x14ac:dyDescent="0.25"/>
    <row r="17" s="4" customFormat="1" x14ac:dyDescent="0.25"/>
    <row r="18" s="4" customFormat="1" x14ac:dyDescent="0.25"/>
    <row r="19" s="4" customFormat="1" x14ac:dyDescent="0.25"/>
    <row r="20" s="4" customFormat="1" x14ac:dyDescent="0.25"/>
    <row r="21" s="4" customFormat="1" x14ac:dyDescent="0.25"/>
    <row r="22" s="4" customFormat="1" x14ac:dyDescent="0.25"/>
    <row r="23" s="4" customFormat="1" x14ac:dyDescent="0.25"/>
    <row r="24" s="4" customFormat="1" x14ac:dyDescent="0.25"/>
    <row r="25" s="4" customFormat="1" x14ac:dyDescent="0.25"/>
    <row r="26" s="4" customFormat="1" x14ac:dyDescent="0.25"/>
    <row r="27" s="4" customFormat="1" x14ac:dyDescent="0.25"/>
    <row r="28" s="4" customFormat="1" x14ac:dyDescent="0.25"/>
    <row r="29" s="4" customFormat="1" x14ac:dyDescent="0.25"/>
    <row r="30" s="4" customFormat="1" x14ac:dyDescent="0.25"/>
    <row r="31" s="4" customFormat="1" x14ac:dyDescent="0.25"/>
    <row r="32" s="4" customFormat="1" x14ac:dyDescent="0.25"/>
    <row r="33" s="4" customFormat="1" x14ac:dyDescent="0.25"/>
    <row r="34" s="4" customFormat="1" x14ac:dyDescent="0.25"/>
    <row r="35" s="4" customFormat="1" x14ac:dyDescent="0.25"/>
    <row r="36" s="4" customFormat="1" x14ac:dyDescent="0.25"/>
    <row r="37" s="4" customFormat="1" x14ac:dyDescent="0.25"/>
    <row r="38" s="4" customFormat="1" x14ac:dyDescent="0.25"/>
    <row r="39" s="4" customFormat="1" x14ac:dyDescent="0.25"/>
    <row r="40" s="4" customFormat="1" x14ac:dyDescent="0.25"/>
    <row r="41" s="4" customFormat="1" x14ac:dyDescent="0.25"/>
    <row r="42" s="4" customFormat="1" x14ac:dyDescent="0.25"/>
    <row r="43" s="4" customFormat="1" x14ac:dyDescent="0.25"/>
    <row r="44" s="4" customFormat="1" x14ac:dyDescent="0.25"/>
    <row r="45" s="4" customFormat="1" x14ac:dyDescent="0.25"/>
    <row r="46" s="4" customFormat="1" x14ac:dyDescent="0.25"/>
    <row r="47" s="4" customFormat="1" x14ac:dyDescent="0.25"/>
    <row r="48" s="4" customFormat="1" x14ac:dyDescent="0.25"/>
    <row r="49" s="4" customFormat="1" x14ac:dyDescent="0.25"/>
    <row r="50" s="4" customFormat="1" x14ac:dyDescent="0.25"/>
    <row r="51" s="4" customFormat="1" x14ac:dyDescent="0.25"/>
    <row r="52" s="4" customFormat="1" x14ac:dyDescent="0.25"/>
    <row r="53" s="4" customFormat="1" x14ac:dyDescent="0.25"/>
    <row r="54" s="4" customFormat="1" x14ac:dyDescent="0.25"/>
    <row r="55" s="4" customFormat="1" x14ac:dyDescent="0.25"/>
    <row r="56" s="4" customFormat="1" x14ac:dyDescent="0.25"/>
    <row r="57" s="4" customFormat="1" x14ac:dyDescent="0.25"/>
    <row r="58" s="4" customFormat="1" x14ac:dyDescent="0.25"/>
    <row r="59" s="4" customFormat="1" x14ac:dyDescent="0.25"/>
    <row r="60" s="4" customFormat="1" x14ac:dyDescent="0.25"/>
    <row r="61" s="4" customFormat="1" x14ac:dyDescent="0.25"/>
    <row r="62" s="4" customFormat="1" x14ac:dyDescent="0.25"/>
    <row r="63" s="4" customFormat="1" x14ac:dyDescent="0.25"/>
    <row r="64" s="4" customFormat="1" x14ac:dyDescent="0.25"/>
    <row r="65" s="4" customForma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39978-FD09-47AC-8C1F-6E13A091D09A}">
  <dimension ref="A1:Z349"/>
  <sheetViews>
    <sheetView workbookViewId="0">
      <selection activeCell="A5" sqref="A5"/>
    </sheetView>
  </sheetViews>
  <sheetFormatPr defaultRowHeight="15" x14ac:dyDescent="0.25"/>
  <cols>
    <col min="1" max="1" width="14.140625" bestFit="1" customWidth="1"/>
    <col min="3" max="26" width="9.140625" style="4"/>
  </cols>
  <sheetData>
    <row r="1" spans="1:2" ht="21" thickTop="1" thickBot="1" x14ac:dyDescent="0.45">
      <c r="A1" s="1" t="s">
        <v>3</v>
      </c>
      <c r="B1" s="1" t="s">
        <v>4</v>
      </c>
    </row>
    <row r="2" spans="1:2" ht="15.75" thickTop="1" x14ac:dyDescent="0.25">
      <c r="A2" s="7">
        <f ca="1">ROUND(_xlfn.NORM.INV(RAND(),Parameters!$B$2,Parameters!$B$3),0)</f>
        <v>35</v>
      </c>
      <c r="B2" s="5">
        <f ca="1">RANDBETWEEN(1,4)</f>
        <v>2</v>
      </c>
    </row>
    <row r="3" spans="1:2" x14ac:dyDescent="0.25">
      <c r="A3" s="8">
        <f ca="1">ROUND(_xlfn.NORM.INV(RAND(),Parameters!$B$2,Parameters!$B$3),0)</f>
        <v>37</v>
      </c>
      <c r="B3" s="6">
        <f t="shared" ref="B3:B66" ca="1" si="0">RANDBETWEEN(1,4)</f>
        <v>1</v>
      </c>
    </row>
    <row r="4" spans="1:2" x14ac:dyDescent="0.25">
      <c r="A4" s="8">
        <f ca="1">ROUND(_xlfn.NORM.INV(RAND(),Parameters!$B$2,Parameters!$B$3),0)</f>
        <v>31</v>
      </c>
      <c r="B4" s="6">
        <f t="shared" ca="1" si="0"/>
        <v>2</v>
      </c>
    </row>
    <row r="5" spans="1:2" x14ac:dyDescent="0.25">
      <c r="A5" s="8">
        <f ca="1">ROUND(_xlfn.NORM.INV(RAND(),Parameters!$B$2,Parameters!$B$3),0)</f>
        <v>37</v>
      </c>
      <c r="B5" s="6">
        <f t="shared" ca="1" si="0"/>
        <v>3</v>
      </c>
    </row>
    <row r="6" spans="1:2" x14ac:dyDescent="0.25">
      <c r="A6" s="8">
        <f ca="1">ROUND(_xlfn.NORM.INV(RAND(),Parameters!$B$2,Parameters!$B$3),0)</f>
        <v>43</v>
      </c>
      <c r="B6" s="6">
        <f t="shared" ca="1" si="0"/>
        <v>4</v>
      </c>
    </row>
    <row r="7" spans="1:2" x14ac:dyDescent="0.25">
      <c r="A7" s="8">
        <f ca="1">ROUND(_xlfn.NORM.INV(RAND(),Parameters!$B$2,Parameters!$B$3),0)</f>
        <v>33</v>
      </c>
      <c r="B7" s="6">
        <f t="shared" ca="1" si="0"/>
        <v>2</v>
      </c>
    </row>
    <row r="8" spans="1:2" x14ac:dyDescent="0.25">
      <c r="A8" s="8">
        <f ca="1">ROUND(_xlfn.NORM.INV(RAND(),Parameters!$B$2,Parameters!$B$3),0)</f>
        <v>34</v>
      </c>
      <c r="B8" s="6">
        <f t="shared" ca="1" si="0"/>
        <v>3</v>
      </c>
    </row>
    <row r="9" spans="1:2" x14ac:dyDescent="0.25">
      <c r="A9" s="8">
        <f ca="1">ROUND(_xlfn.NORM.INV(RAND(),Parameters!$B$2,Parameters!$B$3),0)</f>
        <v>23</v>
      </c>
      <c r="B9" s="6">
        <f t="shared" ca="1" si="0"/>
        <v>2</v>
      </c>
    </row>
    <row r="10" spans="1:2" x14ac:dyDescent="0.25">
      <c r="A10" s="8">
        <f ca="1">ROUND(_xlfn.NORM.INV(RAND(),Parameters!$B$2,Parameters!$B$3),0)</f>
        <v>35</v>
      </c>
      <c r="B10" s="6">
        <f t="shared" ca="1" si="0"/>
        <v>3</v>
      </c>
    </row>
    <row r="11" spans="1:2" x14ac:dyDescent="0.25">
      <c r="A11" s="8">
        <f ca="1">ROUND(_xlfn.NORM.INV(RAND(),Parameters!$B$2,Parameters!$B$3),0)</f>
        <v>32</v>
      </c>
      <c r="B11" s="6">
        <f t="shared" ca="1" si="0"/>
        <v>3</v>
      </c>
    </row>
    <row r="12" spans="1:2" x14ac:dyDescent="0.25">
      <c r="A12" s="8">
        <f ca="1">ROUND(_xlfn.NORM.INV(RAND(),Parameters!$B$2,Parameters!$B$3),0)</f>
        <v>38</v>
      </c>
      <c r="B12" s="6">
        <f t="shared" ca="1" si="0"/>
        <v>2</v>
      </c>
    </row>
    <row r="13" spans="1:2" x14ac:dyDescent="0.25">
      <c r="A13" s="8">
        <f ca="1">ROUND(_xlfn.NORM.INV(RAND(),Parameters!$B$2,Parameters!$B$3),0)</f>
        <v>29</v>
      </c>
      <c r="B13" s="6">
        <f t="shared" ca="1" si="0"/>
        <v>1</v>
      </c>
    </row>
    <row r="14" spans="1:2" x14ac:dyDescent="0.25">
      <c r="A14" s="8">
        <f ca="1">ROUND(_xlfn.NORM.INV(RAND(),Parameters!$B$2,Parameters!$B$3),0)</f>
        <v>32</v>
      </c>
      <c r="B14" s="6">
        <f t="shared" ca="1" si="0"/>
        <v>3</v>
      </c>
    </row>
    <row r="15" spans="1:2" x14ac:dyDescent="0.25">
      <c r="A15" s="8">
        <f ca="1">ROUND(_xlfn.NORM.INV(RAND(),Parameters!$B$2,Parameters!$B$3),0)</f>
        <v>36</v>
      </c>
      <c r="B15" s="6">
        <f t="shared" ca="1" si="0"/>
        <v>2</v>
      </c>
    </row>
    <row r="16" spans="1:2" x14ac:dyDescent="0.25">
      <c r="A16" s="8">
        <f ca="1">ROUND(_xlfn.NORM.INV(RAND(),Parameters!$B$2,Parameters!$B$3),0)</f>
        <v>35</v>
      </c>
      <c r="B16" s="6">
        <f t="shared" ca="1" si="0"/>
        <v>2</v>
      </c>
    </row>
    <row r="17" spans="1:2" x14ac:dyDescent="0.25">
      <c r="A17" s="8">
        <f ca="1">ROUND(_xlfn.NORM.INV(RAND(),Parameters!$B$2,Parameters!$B$3),0)</f>
        <v>32</v>
      </c>
      <c r="B17" s="6">
        <f t="shared" ca="1" si="0"/>
        <v>3</v>
      </c>
    </row>
    <row r="18" spans="1:2" x14ac:dyDescent="0.25">
      <c r="A18" s="8">
        <f ca="1">ROUND(_xlfn.NORM.INV(RAND(),Parameters!$B$2,Parameters!$B$3),0)</f>
        <v>26</v>
      </c>
      <c r="B18" s="6">
        <f t="shared" ca="1" si="0"/>
        <v>2</v>
      </c>
    </row>
    <row r="19" spans="1:2" x14ac:dyDescent="0.25">
      <c r="A19" s="8">
        <f ca="1">ROUND(_xlfn.NORM.INV(RAND(),Parameters!$B$2,Parameters!$B$3),0)</f>
        <v>38</v>
      </c>
      <c r="B19" s="6">
        <f t="shared" ca="1" si="0"/>
        <v>4</v>
      </c>
    </row>
    <row r="20" spans="1:2" x14ac:dyDescent="0.25">
      <c r="A20" s="8">
        <f ca="1">ROUND(_xlfn.NORM.INV(RAND(),Parameters!$B$2,Parameters!$B$3),0)</f>
        <v>31</v>
      </c>
      <c r="B20" s="6">
        <f t="shared" ca="1" si="0"/>
        <v>4</v>
      </c>
    </row>
    <row r="21" spans="1:2" x14ac:dyDescent="0.25">
      <c r="A21" s="8">
        <f ca="1">ROUND(_xlfn.NORM.INV(RAND(),Parameters!$B$2,Parameters!$B$3),0)</f>
        <v>25</v>
      </c>
      <c r="B21" s="6">
        <f t="shared" ca="1" si="0"/>
        <v>4</v>
      </c>
    </row>
    <row r="22" spans="1:2" x14ac:dyDescent="0.25">
      <c r="A22" s="8">
        <f ca="1">ROUND(_xlfn.NORM.INV(RAND(),Parameters!$B$2,Parameters!$B$3),0)</f>
        <v>52</v>
      </c>
      <c r="B22" s="6">
        <f t="shared" ca="1" si="0"/>
        <v>3</v>
      </c>
    </row>
    <row r="23" spans="1:2" x14ac:dyDescent="0.25">
      <c r="A23" s="8">
        <f ca="1">ROUND(_xlfn.NORM.INV(RAND(),Parameters!$B$2,Parameters!$B$3),0)</f>
        <v>21</v>
      </c>
      <c r="B23" s="6">
        <f t="shared" ca="1" si="0"/>
        <v>3</v>
      </c>
    </row>
    <row r="24" spans="1:2" x14ac:dyDescent="0.25">
      <c r="A24" s="8">
        <f ca="1">ROUND(_xlfn.NORM.INV(RAND(),Parameters!$B$2,Parameters!$B$3),0)</f>
        <v>30</v>
      </c>
      <c r="B24" s="6">
        <f t="shared" ca="1" si="0"/>
        <v>1</v>
      </c>
    </row>
    <row r="25" spans="1:2" x14ac:dyDescent="0.25">
      <c r="A25" s="8">
        <f ca="1">ROUND(_xlfn.NORM.INV(RAND(),Parameters!$B$2,Parameters!$B$3),0)</f>
        <v>31</v>
      </c>
      <c r="B25" s="6">
        <f t="shared" ca="1" si="0"/>
        <v>4</v>
      </c>
    </row>
    <row r="26" spans="1:2" x14ac:dyDescent="0.25">
      <c r="A26" s="8">
        <f ca="1">ROUND(_xlfn.NORM.INV(RAND(),Parameters!$B$2,Parameters!$B$3),0)</f>
        <v>39</v>
      </c>
      <c r="B26" s="6">
        <f t="shared" ca="1" si="0"/>
        <v>3</v>
      </c>
    </row>
    <row r="27" spans="1:2" x14ac:dyDescent="0.25">
      <c r="A27" s="8">
        <f ca="1">ROUND(_xlfn.NORM.INV(RAND(),Parameters!$B$2,Parameters!$B$3),0)</f>
        <v>35</v>
      </c>
      <c r="B27" s="6">
        <f t="shared" ca="1" si="0"/>
        <v>4</v>
      </c>
    </row>
    <row r="28" spans="1:2" x14ac:dyDescent="0.25">
      <c r="A28" s="8">
        <f ca="1">ROUND(_xlfn.NORM.INV(RAND(),Parameters!$B$2,Parameters!$B$3),0)</f>
        <v>32</v>
      </c>
      <c r="B28" s="6">
        <f t="shared" ca="1" si="0"/>
        <v>2</v>
      </c>
    </row>
    <row r="29" spans="1:2" x14ac:dyDescent="0.25">
      <c r="A29" s="8">
        <f ca="1">ROUND(_xlfn.NORM.INV(RAND(),Parameters!$B$2,Parameters!$B$3),0)</f>
        <v>24</v>
      </c>
      <c r="B29" s="6">
        <f t="shared" ca="1" si="0"/>
        <v>1</v>
      </c>
    </row>
    <row r="30" spans="1:2" x14ac:dyDescent="0.25">
      <c r="A30" s="8">
        <f ca="1">ROUND(_xlfn.NORM.INV(RAND(),Parameters!$B$2,Parameters!$B$3),0)</f>
        <v>36</v>
      </c>
      <c r="B30" s="6">
        <f t="shared" ca="1" si="0"/>
        <v>2</v>
      </c>
    </row>
    <row r="31" spans="1:2" x14ac:dyDescent="0.25">
      <c r="A31" s="8">
        <f ca="1">ROUND(_xlfn.NORM.INV(RAND(),Parameters!$B$2,Parameters!$B$3),0)</f>
        <v>30</v>
      </c>
      <c r="B31" s="6">
        <f t="shared" ca="1" si="0"/>
        <v>4</v>
      </c>
    </row>
    <row r="32" spans="1:2" x14ac:dyDescent="0.25">
      <c r="A32" s="8">
        <f ca="1">ROUND(_xlfn.NORM.INV(RAND(),Parameters!$B$2,Parameters!$B$3),0)</f>
        <v>31</v>
      </c>
      <c r="B32" s="6">
        <f t="shared" ca="1" si="0"/>
        <v>1</v>
      </c>
    </row>
    <row r="33" spans="1:2" x14ac:dyDescent="0.25">
      <c r="A33" s="8">
        <f ca="1">ROUND(_xlfn.NORM.INV(RAND(),Parameters!$B$2,Parameters!$B$3),0)</f>
        <v>41</v>
      </c>
      <c r="B33" s="6">
        <f t="shared" ca="1" si="0"/>
        <v>1</v>
      </c>
    </row>
    <row r="34" spans="1:2" x14ac:dyDescent="0.25">
      <c r="A34" s="8">
        <f ca="1">ROUND(_xlfn.NORM.INV(RAND(),Parameters!$B$2,Parameters!$B$3),0)</f>
        <v>33</v>
      </c>
      <c r="B34" s="6">
        <f t="shared" ca="1" si="0"/>
        <v>1</v>
      </c>
    </row>
    <row r="35" spans="1:2" x14ac:dyDescent="0.25">
      <c r="A35" s="8">
        <f ca="1">ROUND(_xlfn.NORM.INV(RAND(),Parameters!$B$2,Parameters!$B$3),0)</f>
        <v>35</v>
      </c>
      <c r="B35" s="6">
        <f t="shared" ca="1" si="0"/>
        <v>4</v>
      </c>
    </row>
    <row r="36" spans="1:2" x14ac:dyDescent="0.25">
      <c r="A36" s="8">
        <f ca="1">ROUND(_xlfn.NORM.INV(RAND(),Parameters!$B$2,Parameters!$B$3),0)</f>
        <v>35</v>
      </c>
      <c r="B36" s="6">
        <f t="shared" ca="1" si="0"/>
        <v>4</v>
      </c>
    </row>
    <row r="37" spans="1:2" x14ac:dyDescent="0.25">
      <c r="A37" s="8">
        <f ca="1">ROUND(_xlfn.NORM.INV(RAND(),Parameters!$B$2,Parameters!$B$3),0)</f>
        <v>31</v>
      </c>
      <c r="B37" s="6">
        <f t="shared" ca="1" si="0"/>
        <v>4</v>
      </c>
    </row>
    <row r="38" spans="1:2" x14ac:dyDescent="0.25">
      <c r="A38" s="8">
        <f ca="1">ROUND(_xlfn.NORM.INV(RAND(),Parameters!$B$2,Parameters!$B$3),0)</f>
        <v>43</v>
      </c>
      <c r="B38" s="6">
        <f t="shared" ca="1" si="0"/>
        <v>3</v>
      </c>
    </row>
    <row r="39" spans="1:2" x14ac:dyDescent="0.25">
      <c r="A39" s="8">
        <f ca="1">ROUND(_xlfn.NORM.INV(RAND(),Parameters!$B$2,Parameters!$B$3),0)</f>
        <v>35</v>
      </c>
      <c r="B39" s="6">
        <f t="shared" ca="1" si="0"/>
        <v>4</v>
      </c>
    </row>
    <row r="40" spans="1:2" x14ac:dyDescent="0.25">
      <c r="A40" s="8">
        <f ca="1">ROUND(_xlfn.NORM.INV(RAND(),Parameters!$B$2,Parameters!$B$3),0)</f>
        <v>36</v>
      </c>
      <c r="B40" s="6">
        <f t="shared" ca="1" si="0"/>
        <v>4</v>
      </c>
    </row>
    <row r="41" spans="1:2" x14ac:dyDescent="0.25">
      <c r="A41" s="8">
        <f ca="1">ROUND(_xlfn.NORM.INV(RAND(),Parameters!$B$2,Parameters!$B$3),0)</f>
        <v>39</v>
      </c>
      <c r="B41" s="6">
        <f t="shared" ca="1" si="0"/>
        <v>4</v>
      </c>
    </row>
    <row r="42" spans="1:2" x14ac:dyDescent="0.25">
      <c r="A42" s="8">
        <f ca="1">ROUND(_xlfn.NORM.INV(RAND(),Parameters!$B$2,Parameters!$B$3),0)</f>
        <v>33</v>
      </c>
      <c r="B42" s="6">
        <f t="shared" ca="1" si="0"/>
        <v>3</v>
      </c>
    </row>
    <row r="43" spans="1:2" x14ac:dyDescent="0.25">
      <c r="A43" s="8">
        <f ca="1">ROUND(_xlfn.NORM.INV(RAND(),Parameters!$B$2,Parameters!$B$3),0)</f>
        <v>26</v>
      </c>
      <c r="B43" s="6">
        <f t="shared" ca="1" si="0"/>
        <v>1</v>
      </c>
    </row>
    <row r="44" spans="1:2" x14ac:dyDescent="0.25">
      <c r="A44" s="8">
        <f ca="1">ROUND(_xlfn.NORM.INV(RAND(),Parameters!$B$2,Parameters!$B$3),0)</f>
        <v>33</v>
      </c>
      <c r="B44" s="6">
        <f t="shared" ca="1" si="0"/>
        <v>4</v>
      </c>
    </row>
    <row r="45" spans="1:2" x14ac:dyDescent="0.25">
      <c r="A45" s="8">
        <f ca="1">ROUND(_xlfn.NORM.INV(RAND(),Parameters!$B$2,Parameters!$B$3),0)</f>
        <v>23</v>
      </c>
      <c r="B45" s="6">
        <f t="shared" ca="1" si="0"/>
        <v>4</v>
      </c>
    </row>
    <row r="46" spans="1:2" x14ac:dyDescent="0.25">
      <c r="A46" s="8">
        <f ca="1">ROUND(_xlfn.NORM.INV(RAND(),Parameters!$B$2,Parameters!$B$3),0)</f>
        <v>31</v>
      </c>
      <c r="B46" s="6">
        <f t="shared" ca="1" si="0"/>
        <v>3</v>
      </c>
    </row>
    <row r="47" spans="1:2" x14ac:dyDescent="0.25">
      <c r="A47" s="8">
        <f ca="1">ROUND(_xlfn.NORM.INV(RAND(),Parameters!$B$2,Parameters!$B$3),0)</f>
        <v>35</v>
      </c>
      <c r="B47" s="6">
        <f t="shared" ca="1" si="0"/>
        <v>4</v>
      </c>
    </row>
    <row r="48" spans="1:2" x14ac:dyDescent="0.25">
      <c r="A48" s="8">
        <f ca="1">ROUND(_xlfn.NORM.INV(RAND(),Parameters!$B$2,Parameters!$B$3),0)</f>
        <v>40</v>
      </c>
      <c r="B48" s="6">
        <f t="shared" ca="1" si="0"/>
        <v>2</v>
      </c>
    </row>
    <row r="49" spans="1:2" x14ac:dyDescent="0.25">
      <c r="A49" s="8">
        <f ca="1">ROUND(_xlfn.NORM.INV(RAND(),Parameters!$B$2,Parameters!$B$3),0)</f>
        <v>36</v>
      </c>
      <c r="B49" s="6">
        <f t="shared" ca="1" si="0"/>
        <v>1</v>
      </c>
    </row>
    <row r="50" spans="1:2" x14ac:dyDescent="0.25">
      <c r="A50" s="8">
        <f ca="1">ROUND(_xlfn.NORM.INV(RAND(),Parameters!$B$2,Parameters!$B$3),0)</f>
        <v>39</v>
      </c>
      <c r="B50" s="6">
        <f t="shared" ca="1" si="0"/>
        <v>1</v>
      </c>
    </row>
    <row r="51" spans="1:2" x14ac:dyDescent="0.25">
      <c r="A51" s="8">
        <f ca="1">ROUND(_xlfn.NORM.INV(RAND(),Parameters!$B$2,Parameters!$B$3),0)</f>
        <v>29</v>
      </c>
      <c r="B51" s="6">
        <f t="shared" ca="1" si="0"/>
        <v>4</v>
      </c>
    </row>
    <row r="52" spans="1:2" x14ac:dyDescent="0.25">
      <c r="A52" s="8">
        <f ca="1">ROUND(_xlfn.NORM.INV(RAND(),Parameters!$B$2,Parameters!$B$3),0)</f>
        <v>41</v>
      </c>
      <c r="B52" s="6">
        <f t="shared" ca="1" si="0"/>
        <v>4</v>
      </c>
    </row>
    <row r="53" spans="1:2" x14ac:dyDescent="0.25">
      <c r="A53" s="8">
        <f ca="1">ROUND(_xlfn.NORM.INV(RAND(),Parameters!$B$2,Parameters!$B$3),0)</f>
        <v>33</v>
      </c>
      <c r="B53" s="6">
        <f t="shared" ca="1" si="0"/>
        <v>3</v>
      </c>
    </row>
    <row r="54" spans="1:2" x14ac:dyDescent="0.25">
      <c r="A54" s="8">
        <f ca="1">ROUND(_xlfn.NORM.INV(RAND(),Parameters!$B$2,Parameters!$B$3),0)</f>
        <v>36</v>
      </c>
      <c r="B54" s="6">
        <f t="shared" ca="1" si="0"/>
        <v>4</v>
      </c>
    </row>
    <row r="55" spans="1:2" x14ac:dyDescent="0.25">
      <c r="A55" s="8">
        <f ca="1">ROUND(_xlfn.NORM.INV(RAND(),Parameters!$B$2,Parameters!$B$3),0)</f>
        <v>34</v>
      </c>
      <c r="B55" s="6">
        <f t="shared" ca="1" si="0"/>
        <v>1</v>
      </c>
    </row>
    <row r="56" spans="1:2" x14ac:dyDescent="0.25">
      <c r="A56" s="8">
        <f ca="1">ROUND(_xlfn.NORM.INV(RAND(),Parameters!$B$2,Parameters!$B$3),0)</f>
        <v>48</v>
      </c>
      <c r="B56" s="6">
        <f t="shared" ca="1" si="0"/>
        <v>3</v>
      </c>
    </row>
    <row r="57" spans="1:2" x14ac:dyDescent="0.25">
      <c r="A57" s="8">
        <f ca="1">ROUND(_xlfn.NORM.INV(RAND(),Parameters!$B$2,Parameters!$B$3),0)</f>
        <v>29</v>
      </c>
      <c r="B57" s="6">
        <f t="shared" ca="1" si="0"/>
        <v>1</v>
      </c>
    </row>
    <row r="58" spans="1:2" x14ac:dyDescent="0.25">
      <c r="A58" s="8">
        <f ca="1">ROUND(_xlfn.NORM.INV(RAND(),Parameters!$B$2,Parameters!$B$3),0)</f>
        <v>31</v>
      </c>
      <c r="B58" s="6">
        <f t="shared" ca="1" si="0"/>
        <v>4</v>
      </c>
    </row>
    <row r="59" spans="1:2" x14ac:dyDescent="0.25">
      <c r="A59" s="8">
        <f ca="1">ROUND(_xlfn.NORM.INV(RAND(),Parameters!$B$2,Parameters!$B$3),0)</f>
        <v>42</v>
      </c>
      <c r="B59" s="6">
        <f t="shared" ca="1" si="0"/>
        <v>3</v>
      </c>
    </row>
    <row r="60" spans="1:2" x14ac:dyDescent="0.25">
      <c r="A60" s="8">
        <f ca="1">ROUND(_xlfn.NORM.INV(RAND(),Parameters!$B$2,Parameters!$B$3),0)</f>
        <v>22</v>
      </c>
      <c r="B60" s="6">
        <f t="shared" ca="1" si="0"/>
        <v>1</v>
      </c>
    </row>
    <row r="61" spans="1:2" x14ac:dyDescent="0.25">
      <c r="A61" s="8">
        <f ca="1">ROUND(_xlfn.NORM.INV(RAND(),Parameters!$B$2,Parameters!$B$3),0)</f>
        <v>32</v>
      </c>
      <c r="B61" s="6">
        <f t="shared" ca="1" si="0"/>
        <v>4</v>
      </c>
    </row>
    <row r="62" spans="1:2" x14ac:dyDescent="0.25">
      <c r="A62" s="8">
        <f ca="1">ROUND(_xlfn.NORM.INV(RAND(),Parameters!$B$2,Parameters!$B$3),0)</f>
        <v>46</v>
      </c>
      <c r="B62" s="6">
        <f t="shared" ca="1" si="0"/>
        <v>4</v>
      </c>
    </row>
    <row r="63" spans="1:2" x14ac:dyDescent="0.25">
      <c r="A63" s="8">
        <f ca="1">ROUND(_xlfn.NORM.INV(RAND(),Parameters!$B$2,Parameters!$B$3),0)</f>
        <v>31</v>
      </c>
      <c r="B63" s="6">
        <f t="shared" ca="1" si="0"/>
        <v>1</v>
      </c>
    </row>
    <row r="64" spans="1:2" x14ac:dyDescent="0.25">
      <c r="A64" s="8">
        <f ca="1">ROUND(_xlfn.NORM.INV(RAND(),Parameters!$B$2,Parameters!$B$3),0)</f>
        <v>38</v>
      </c>
      <c r="B64" s="6">
        <f t="shared" ca="1" si="0"/>
        <v>2</v>
      </c>
    </row>
    <row r="65" spans="1:2" x14ac:dyDescent="0.25">
      <c r="A65" s="8">
        <f ca="1">ROUND(_xlfn.NORM.INV(RAND(),Parameters!$B$2,Parameters!$B$3),0)</f>
        <v>43</v>
      </c>
      <c r="B65" s="6">
        <f t="shared" ca="1" si="0"/>
        <v>4</v>
      </c>
    </row>
    <row r="66" spans="1:2" x14ac:dyDescent="0.25">
      <c r="A66" s="8">
        <f ca="1">ROUND(_xlfn.NORM.INV(RAND(),Parameters!$B$2,Parameters!$B$3),0)</f>
        <v>42</v>
      </c>
      <c r="B66" s="6">
        <f t="shared" ca="1" si="0"/>
        <v>2</v>
      </c>
    </row>
    <row r="67" spans="1:2" x14ac:dyDescent="0.25">
      <c r="A67" s="8">
        <f ca="1">ROUND(_xlfn.NORM.INV(RAND(),Parameters!$B$2,Parameters!$B$3),0)</f>
        <v>35</v>
      </c>
      <c r="B67" s="6">
        <f t="shared" ref="B67:B130" ca="1" si="1">RANDBETWEEN(1,4)</f>
        <v>4</v>
      </c>
    </row>
    <row r="68" spans="1:2" x14ac:dyDescent="0.25">
      <c r="A68" s="8">
        <f ca="1">ROUND(_xlfn.NORM.INV(RAND(),Parameters!$B$2,Parameters!$B$3),0)</f>
        <v>36</v>
      </c>
      <c r="B68" s="6">
        <f t="shared" ca="1" si="1"/>
        <v>3</v>
      </c>
    </row>
    <row r="69" spans="1:2" x14ac:dyDescent="0.25">
      <c r="A69" s="8">
        <f ca="1">ROUND(_xlfn.NORM.INV(RAND(),Parameters!$B$2,Parameters!$B$3),0)</f>
        <v>27</v>
      </c>
      <c r="B69" s="6">
        <f t="shared" ca="1" si="1"/>
        <v>1</v>
      </c>
    </row>
    <row r="70" spans="1:2" x14ac:dyDescent="0.25">
      <c r="A70" s="8">
        <f ca="1">ROUND(_xlfn.NORM.INV(RAND(),Parameters!$B$2,Parameters!$B$3),0)</f>
        <v>35</v>
      </c>
      <c r="B70" s="6">
        <f t="shared" ca="1" si="1"/>
        <v>4</v>
      </c>
    </row>
    <row r="71" spans="1:2" x14ac:dyDescent="0.25">
      <c r="A71" s="8">
        <f ca="1">ROUND(_xlfn.NORM.INV(RAND(),Parameters!$B$2,Parameters!$B$3),0)</f>
        <v>33</v>
      </c>
      <c r="B71" s="6">
        <f t="shared" ca="1" si="1"/>
        <v>3</v>
      </c>
    </row>
    <row r="72" spans="1:2" x14ac:dyDescent="0.25">
      <c r="A72" s="8">
        <f ca="1">ROUND(_xlfn.NORM.INV(RAND(),Parameters!$B$2,Parameters!$B$3),0)</f>
        <v>48</v>
      </c>
      <c r="B72" s="6">
        <f t="shared" ca="1" si="1"/>
        <v>4</v>
      </c>
    </row>
    <row r="73" spans="1:2" x14ac:dyDescent="0.25">
      <c r="A73" s="8">
        <f ca="1">ROUND(_xlfn.NORM.INV(RAND(),Parameters!$B$2,Parameters!$B$3),0)</f>
        <v>32</v>
      </c>
      <c r="B73" s="6">
        <f t="shared" ca="1" si="1"/>
        <v>2</v>
      </c>
    </row>
    <row r="74" spans="1:2" x14ac:dyDescent="0.25">
      <c r="A74" s="8">
        <f ca="1">ROUND(_xlfn.NORM.INV(RAND(),Parameters!$B$2,Parameters!$B$3),0)</f>
        <v>32</v>
      </c>
      <c r="B74" s="6">
        <f t="shared" ca="1" si="1"/>
        <v>1</v>
      </c>
    </row>
    <row r="75" spans="1:2" x14ac:dyDescent="0.25">
      <c r="A75" s="8">
        <f ca="1">ROUND(_xlfn.NORM.INV(RAND(),Parameters!$B$2,Parameters!$B$3),0)</f>
        <v>31</v>
      </c>
      <c r="B75" s="6">
        <f t="shared" ca="1" si="1"/>
        <v>2</v>
      </c>
    </row>
    <row r="76" spans="1:2" x14ac:dyDescent="0.25">
      <c r="A76" s="8">
        <f ca="1">ROUND(_xlfn.NORM.INV(RAND(),Parameters!$B$2,Parameters!$B$3),0)</f>
        <v>29</v>
      </c>
      <c r="B76" s="6">
        <f t="shared" ca="1" si="1"/>
        <v>2</v>
      </c>
    </row>
    <row r="77" spans="1:2" x14ac:dyDescent="0.25">
      <c r="A77" s="8">
        <f ca="1">ROUND(_xlfn.NORM.INV(RAND(),Parameters!$B$2,Parameters!$B$3),0)</f>
        <v>28</v>
      </c>
      <c r="B77" s="6">
        <f t="shared" ca="1" si="1"/>
        <v>4</v>
      </c>
    </row>
    <row r="78" spans="1:2" x14ac:dyDescent="0.25">
      <c r="A78" s="8">
        <f ca="1">ROUND(_xlfn.NORM.INV(RAND(),Parameters!$B$2,Parameters!$B$3),0)</f>
        <v>26</v>
      </c>
      <c r="B78" s="6">
        <f t="shared" ca="1" si="1"/>
        <v>4</v>
      </c>
    </row>
    <row r="79" spans="1:2" x14ac:dyDescent="0.25">
      <c r="A79" s="8">
        <f ca="1">ROUND(_xlfn.NORM.INV(RAND(),Parameters!$B$2,Parameters!$B$3),0)</f>
        <v>42</v>
      </c>
      <c r="B79" s="6">
        <f t="shared" ca="1" si="1"/>
        <v>2</v>
      </c>
    </row>
    <row r="80" spans="1:2" x14ac:dyDescent="0.25">
      <c r="A80" s="8">
        <f ca="1">ROUND(_xlfn.NORM.INV(RAND(),Parameters!$B$2,Parameters!$B$3),0)</f>
        <v>44</v>
      </c>
      <c r="B80" s="6">
        <f t="shared" ca="1" si="1"/>
        <v>4</v>
      </c>
    </row>
    <row r="81" spans="1:2" x14ac:dyDescent="0.25">
      <c r="A81" s="8">
        <f ca="1">ROUND(_xlfn.NORM.INV(RAND(),Parameters!$B$2,Parameters!$B$3),0)</f>
        <v>37</v>
      </c>
      <c r="B81" s="6">
        <f t="shared" ca="1" si="1"/>
        <v>1</v>
      </c>
    </row>
    <row r="82" spans="1:2" x14ac:dyDescent="0.25">
      <c r="A82" s="8">
        <f ca="1">ROUND(_xlfn.NORM.INV(RAND(),Parameters!$B$2,Parameters!$B$3),0)</f>
        <v>38</v>
      </c>
      <c r="B82" s="6">
        <f t="shared" ca="1" si="1"/>
        <v>1</v>
      </c>
    </row>
    <row r="83" spans="1:2" x14ac:dyDescent="0.25">
      <c r="A83" s="8">
        <f ca="1">ROUND(_xlfn.NORM.INV(RAND(),Parameters!$B$2,Parameters!$B$3),0)</f>
        <v>37</v>
      </c>
      <c r="B83" s="6">
        <f t="shared" ca="1" si="1"/>
        <v>1</v>
      </c>
    </row>
    <row r="84" spans="1:2" x14ac:dyDescent="0.25">
      <c r="A84" s="8">
        <f ca="1">ROUND(_xlfn.NORM.INV(RAND(),Parameters!$B$2,Parameters!$B$3),0)</f>
        <v>34</v>
      </c>
      <c r="B84" s="6">
        <f t="shared" ca="1" si="1"/>
        <v>1</v>
      </c>
    </row>
    <row r="85" spans="1:2" x14ac:dyDescent="0.25">
      <c r="A85" s="8">
        <f ca="1">ROUND(_xlfn.NORM.INV(RAND(),Parameters!$B$2,Parameters!$B$3),0)</f>
        <v>38</v>
      </c>
      <c r="B85" s="6">
        <f t="shared" ca="1" si="1"/>
        <v>2</v>
      </c>
    </row>
    <row r="86" spans="1:2" x14ac:dyDescent="0.25">
      <c r="A86" s="8">
        <f ca="1">ROUND(_xlfn.NORM.INV(RAND(),Parameters!$B$2,Parameters!$B$3),0)</f>
        <v>33</v>
      </c>
      <c r="B86" s="6">
        <f t="shared" ca="1" si="1"/>
        <v>3</v>
      </c>
    </row>
    <row r="87" spans="1:2" x14ac:dyDescent="0.25">
      <c r="A87" s="8">
        <f ca="1">ROUND(_xlfn.NORM.INV(RAND(),Parameters!$B$2,Parameters!$B$3),0)</f>
        <v>31</v>
      </c>
      <c r="B87" s="6">
        <f t="shared" ca="1" si="1"/>
        <v>4</v>
      </c>
    </row>
    <row r="88" spans="1:2" x14ac:dyDescent="0.25">
      <c r="A88" s="8">
        <f ca="1">ROUND(_xlfn.NORM.INV(RAND(),Parameters!$B$2,Parameters!$B$3),0)</f>
        <v>38</v>
      </c>
      <c r="B88" s="6">
        <f t="shared" ca="1" si="1"/>
        <v>2</v>
      </c>
    </row>
    <row r="89" spans="1:2" x14ac:dyDescent="0.25">
      <c r="A89" s="8">
        <f ca="1">ROUND(_xlfn.NORM.INV(RAND(),Parameters!$B$2,Parameters!$B$3),0)</f>
        <v>36</v>
      </c>
      <c r="B89" s="6">
        <f t="shared" ca="1" si="1"/>
        <v>1</v>
      </c>
    </row>
    <row r="90" spans="1:2" x14ac:dyDescent="0.25">
      <c r="A90" s="8">
        <f ca="1">ROUND(_xlfn.NORM.INV(RAND(),Parameters!$B$2,Parameters!$B$3),0)</f>
        <v>28</v>
      </c>
      <c r="B90" s="6">
        <f t="shared" ca="1" si="1"/>
        <v>2</v>
      </c>
    </row>
    <row r="91" spans="1:2" x14ac:dyDescent="0.25">
      <c r="A91" s="8">
        <f ca="1">ROUND(_xlfn.NORM.INV(RAND(),Parameters!$B$2,Parameters!$B$3),0)</f>
        <v>49</v>
      </c>
      <c r="B91" s="6">
        <f t="shared" ca="1" si="1"/>
        <v>1</v>
      </c>
    </row>
    <row r="92" spans="1:2" x14ac:dyDescent="0.25">
      <c r="A92" s="8">
        <f ca="1">ROUND(_xlfn.NORM.INV(RAND(),Parameters!$B$2,Parameters!$B$3),0)</f>
        <v>22</v>
      </c>
      <c r="B92" s="6">
        <f t="shared" ca="1" si="1"/>
        <v>3</v>
      </c>
    </row>
    <row r="93" spans="1:2" x14ac:dyDescent="0.25">
      <c r="A93" s="8">
        <f ca="1">ROUND(_xlfn.NORM.INV(RAND(),Parameters!$B$2,Parameters!$B$3),0)</f>
        <v>38</v>
      </c>
      <c r="B93" s="6">
        <f t="shared" ca="1" si="1"/>
        <v>3</v>
      </c>
    </row>
    <row r="94" spans="1:2" x14ac:dyDescent="0.25">
      <c r="A94" s="8">
        <f ca="1">ROUND(_xlfn.NORM.INV(RAND(),Parameters!$B$2,Parameters!$B$3),0)</f>
        <v>32</v>
      </c>
      <c r="B94" s="6">
        <f t="shared" ca="1" si="1"/>
        <v>2</v>
      </c>
    </row>
    <row r="95" spans="1:2" x14ac:dyDescent="0.25">
      <c r="A95" s="8">
        <f ca="1">ROUND(_xlfn.NORM.INV(RAND(),Parameters!$B$2,Parameters!$B$3),0)</f>
        <v>38</v>
      </c>
      <c r="B95" s="6">
        <f t="shared" ca="1" si="1"/>
        <v>4</v>
      </c>
    </row>
    <row r="96" spans="1:2" x14ac:dyDescent="0.25">
      <c r="A96" s="8">
        <f ca="1">ROUND(_xlfn.NORM.INV(RAND(),Parameters!$B$2,Parameters!$B$3),0)</f>
        <v>39</v>
      </c>
      <c r="B96" s="6">
        <f t="shared" ca="1" si="1"/>
        <v>1</v>
      </c>
    </row>
    <row r="97" spans="1:2" x14ac:dyDescent="0.25">
      <c r="A97" s="8">
        <f ca="1">ROUND(_xlfn.NORM.INV(RAND(),Parameters!$B$2,Parameters!$B$3),0)</f>
        <v>28</v>
      </c>
      <c r="B97" s="6">
        <f t="shared" ca="1" si="1"/>
        <v>4</v>
      </c>
    </row>
    <row r="98" spans="1:2" x14ac:dyDescent="0.25">
      <c r="A98" s="8">
        <f ca="1">ROUND(_xlfn.NORM.INV(RAND(),Parameters!$B$2,Parameters!$B$3),0)</f>
        <v>39</v>
      </c>
      <c r="B98" s="6">
        <f t="shared" ca="1" si="1"/>
        <v>4</v>
      </c>
    </row>
    <row r="99" spans="1:2" x14ac:dyDescent="0.25">
      <c r="A99" s="8">
        <f ca="1">ROUND(_xlfn.NORM.INV(RAND(),Parameters!$B$2,Parameters!$B$3),0)</f>
        <v>34</v>
      </c>
      <c r="B99" s="6">
        <f t="shared" ca="1" si="1"/>
        <v>3</v>
      </c>
    </row>
    <row r="100" spans="1:2" x14ac:dyDescent="0.25">
      <c r="A100" s="8">
        <f ca="1">ROUND(_xlfn.NORM.INV(RAND(),Parameters!$B$2,Parameters!$B$3),0)</f>
        <v>38</v>
      </c>
      <c r="B100" s="6">
        <f t="shared" ca="1" si="1"/>
        <v>3</v>
      </c>
    </row>
    <row r="101" spans="1:2" x14ac:dyDescent="0.25">
      <c r="A101" s="8">
        <f ca="1">ROUND(_xlfn.NORM.INV(RAND(),Parameters!$B$2,Parameters!$B$3),0)</f>
        <v>41</v>
      </c>
      <c r="B101" s="6">
        <f t="shared" ca="1" si="1"/>
        <v>3</v>
      </c>
    </row>
    <row r="102" spans="1:2" x14ac:dyDescent="0.25">
      <c r="A102" s="8">
        <f ca="1">ROUND(_xlfn.NORM.INV(RAND(),Parameters!$B$2,Parameters!$B$3),0)</f>
        <v>39</v>
      </c>
      <c r="B102" s="6">
        <f t="shared" ca="1" si="1"/>
        <v>4</v>
      </c>
    </row>
    <row r="103" spans="1:2" x14ac:dyDescent="0.25">
      <c r="A103" s="8">
        <f ca="1">ROUND(_xlfn.NORM.INV(RAND(),Parameters!$B$2,Parameters!$B$3),0)</f>
        <v>28</v>
      </c>
      <c r="B103" s="6">
        <f t="shared" ca="1" si="1"/>
        <v>2</v>
      </c>
    </row>
    <row r="104" spans="1:2" x14ac:dyDescent="0.25">
      <c r="A104" s="8">
        <f ca="1">ROUND(_xlfn.NORM.INV(RAND(),Parameters!$B$2,Parameters!$B$3),0)</f>
        <v>38</v>
      </c>
      <c r="B104" s="6">
        <f t="shared" ca="1" si="1"/>
        <v>4</v>
      </c>
    </row>
    <row r="105" spans="1:2" x14ac:dyDescent="0.25">
      <c r="A105" s="8">
        <f ca="1">ROUND(_xlfn.NORM.INV(RAND(),Parameters!$B$2,Parameters!$B$3),0)</f>
        <v>36</v>
      </c>
      <c r="B105" s="6">
        <f t="shared" ca="1" si="1"/>
        <v>3</v>
      </c>
    </row>
    <row r="106" spans="1:2" x14ac:dyDescent="0.25">
      <c r="A106" s="8">
        <f ca="1">ROUND(_xlfn.NORM.INV(RAND(),Parameters!$B$2,Parameters!$B$3),0)</f>
        <v>27</v>
      </c>
      <c r="B106" s="6">
        <f t="shared" ca="1" si="1"/>
        <v>2</v>
      </c>
    </row>
    <row r="107" spans="1:2" x14ac:dyDescent="0.25">
      <c r="A107" s="8">
        <f ca="1">ROUND(_xlfn.NORM.INV(RAND(),Parameters!$B$2,Parameters!$B$3),0)</f>
        <v>35</v>
      </c>
      <c r="B107" s="6">
        <f t="shared" ca="1" si="1"/>
        <v>1</v>
      </c>
    </row>
    <row r="108" spans="1:2" x14ac:dyDescent="0.25">
      <c r="A108" s="8">
        <f ca="1">ROUND(_xlfn.NORM.INV(RAND(),Parameters!$B$2,Parameters!$B$3),0)</f>
        <v>34</v>
      </c>
      <c r="B108" s="6">
        <f t="shared" ca="1" si="1"/>
        <v>4</v>
      </c>
    </row>
    <row r="109" spans="1:2" x14ac:dyDescent="0.25">
      <c r="A109" s="8">
        <f ca="1">ROUND(_xlfn.NORM.INV(RAND(),Parameters!$B$2,Parameters!$B$3),0)</f>
        <v>27</v>
      </c>
      <c r="B109" s="6">
        <f t="shared" ca="1" si="1"/>
        <v>1</v>
      </c>
    </row>
    <row r="110" spans="1:2" x14ac:dyDescent="0.25">
      <c r="A110" s="8">
        <f ca="1">ROUND(_xlfn.NORM.INV(RAND(),Parameters!$B$2,Parameters!$B$3),0)</f>
        <v>37</v>
      </c>
      <c r="B110" s="6">
        <f t="shared" ca="1" si="1"/>
        <v>2</v>
      </c>
    </row>
    <row r="111" spans="1:2" x14ac:dyDescent="0.25">
      <c r="A111" s="8">
        <f ca="1">ROUND(_xlfn.NORM.INV(RAND(),Parameters!$B$2,Parameters!$B$3),0)</f>
        <v>32</v>
      </c>
      <c r="B111" s="6">
        <f t="shared" ca="1" si="1"/>
        <v>2</v>
      </c>
    </row>
    <row r="112" spans="1:2" x14ac:dyDescent="0.25">
      <c r="A112" s="8">
        <f ca="1">ROUND(_xlfn.NORM.INV(RAND(),Parameters!$B$2,Parameters!$B$3),0)</f>
        <v>42</v>
      </c>
      <c r="B112" s="6">
        <f t="shared" ca="1" si="1"/>
        <v>4</v>
      </c>
    </row>
    <row r="113" spans="1:2" x14ac:dyDescent="0.25">
      <c r="A113" s="8">
        <f ca="1">ROUND(_xlfn.NORM.INV(RAND(),Parameters!$B$2,Parameters!$B$3),0)</f>
        <v>40</v>
      </c>
      <c r="B113" s="6">
        <f t="shared" ca="1" si="1"/>
        <v>4</v>
      </c>
    </row>
    <row r="114" spans="1:2" x14ac:dyDescent="0.25">
      <c r="A114" s="8">
        <f ca="1">ROUND(_xlfn.NORM.INV(RAND(),Parameters!$B$2,Parameters!$B$3),0)</f>
        <v>41</v>
      </c>
      <c r="B114" s="6">
        <f t="shared" ca="1" si="1"/>
        <v>3</v>
      </c>
    </row>
    <row r="115" spans="1:2" x14ac:dyDescent="0.25">
      <c r="A115" s="8">
        <f ca="1">ROUND(_xlfn.NORM.INV(RAND(),Parameters!$B$2,Parameters!$B$3),0)</f>
        <v>33</v>
      </c>
      <c r="B115" s="6">
        <f t="shared" ca="1" si="1"/>
        <v>2</v>
      </c>
    </row>
    <row r="116" spans="1:2" x14ac:dyDescent="0.25">
      <c r="A116" s="8">
        <f ca="1">ROUND(_xlfn.NORM.INV(RAND(),Parameters!$B$2,Parameters!$B$3),0)</f>
        <v>39</v>
      </c>
      <c r="B116" s="6">
        <f t="shared" ca="1" si="1"/>
        <v>1</v>
      </c>
    </row>
    <row r="117" spans="1:2" x14ac:dyDescent="0.25">
      <c r="A117" s="8">
        <f ca="1">ROUND(_xlfn.NORM.INV(RAND(),Parameters!$B$2,Parameters!$B$3),0)</f>
        <v>36</v>
      </c>
      <c r="B117" s="6">
        <f t="shared" ca="1" si="1"/>
        <v>2</v>
      </c>
    </row>
    <row r="118" spans="1:2" x14ac:dyDescent="0.25">
      <c r="A118" s="8">
        <f ca="1">ROUND(_xlfn.NORM.INV(RAND(),Parameters!$B$2,Parameters!$B$3),0)</f>
        <v>26</v>
      </c>
      <c r="B118" s="6">
        <f t="shared" ca="1" si="1"/>
        <v>2</v>
      </c>
    </row>
    <row r="119" spans="1:2" x14ac:dyDescent="0.25">
      <c r="A119" s="8">
        <f ca="1">ROUND(_xlfn.NORM.INV(RAND(),Parameters!$B$2,Parameters!$B$3),0)</f>
        <v>49</v>
      </c>
      <c r="B119" s="6">
        <f t="shared" ca="1" si="1"/>
        <v>4</v>
      </c>
    </row>
    <row r="120" spans="1:2" x14ac:dyDescent="0.25">
      <c r="A120" s="8">
        <f ca="1">ROUND(_xlfn.NORM.INV(RAND(),Parameters!$B$2,Parameters!$B$3),0)</f>
        <v>50</v>
      </c>
      <c r="B120" s="6">
        <f t="shared" ca="1" si="1"/>
        <v>3</v>
      </c>
    </row>
    <row r="121" spans="1:2" x14ac:dyDescent="0.25">
      <c r="A121" s="8">
        <f ca="1">ROUND(_xlfn.NORM.INV(RAND(),Parameters!$B$2,Parameters!$B$3),0)</f>
        <v>43</v>
      </c>
      <c r="B121" s="6">
        <f t="shared" ca="1" si="1"/>
        <v>4</v>
      </c>
    </row>
    <row r="122" spans="1:2" x14ac:dyDescent="0.25">
      <c r="A122" s="8">
        <f ca="1">ROUND(_xlfn.NORM.INV(RAND(),Parameters!$B$2,Parameters!$B$3),0)</f>
        <v>34</v>
      </c>
      <c r="B122" s="6">
        <f t="shared" ca="1" si="1"/>
        <v>1</v>
      </c>
    </row>
    <row r="123" spans="1:2" x14ac:dyDescent="0.25">
      <c r="A123" s="8">
        <f ca="1">ROUND(_xlfn.NORM.INV(RAND(),Parameters!$B$2,Parameters!$B$3),0)</f>
        <v>52</v>
      </c>
      <c r="B123" s="6">
        <f t="shared" ca="1" si="1"/>
        <v>2</v>
      </c>
    </row>
    <row r="124" spans="1:2" x14ac:dyDescent="0.25">
      <c r="A124" s="8">
        <f ca="1">ROUND(_xlfn.NORM.INV(RAND(),Parameters!$B$2,Parameters!$B$3),0)</f>
        <v>37</v>
      </c>
      <c r="B124" s="6">
        <f t="shared" ca="1" si="1"/>
        <v>2</v>
      </c>
    </row>
    <row r="125" spans="1:2" x14ac:dyDescent="0.25">
      <c r="A125" s="8">
        <f ca="1">ROUND(_xlfn.NORM.INV(RAND(),Parameters!$B$2,Parameters!$B$3),0)</f>
        <v>39</v>
      </c>
      <c r="B125" s="6">
        <f t="shared" ca="1" si="1"/>
        <v>1</v>
      </c>
    </row>
    <row r="126" spans="1:2" x14ac:dyDescent="0.25">
      <c r="A126" s="8">
        <f ca="1">ROUND(_xlfn.NORM.INV(RAND(),Parameters!$B$2,Parameters!$B$3),0)</f>
        <v>41</v>
      </c>
      <c r="B126" s="6">
        <f t="shared" ca="1" si="1"/>
        <v>4</v>
      </c>
    </row>
    <row r="127" spans="1:2" x14ac:dyDescent="0.25">
      <c r="A127" s="8">
        <f ca="1">ROUND(_xlfn.NORM.INV(RAND(),Parameters!$B$2,Parameters!$B$3),0)</f>
        <v>32</v>
      </c>
      <c r="B127" s="6">
        <f t="shared" ca="1" si="1"/>
        <v>2</v>
      </c>
    </row>
    <row r="128" spans="1:2" x14ac:dyDescent="0.25">
      <c r="A128" s="8">
        <f ca="1">ROUND(_xlfn.NORM.INV(RAND(),Parameters!$B$2,Parameters!$B$3),0)</f>
        <v>36</v>
      </c>
      <c r="B128" s="6">
        <f t="shared" ca="1" si="1"/>
        <v>3</v>
      </c>
    </row>
    <row r="129" spans="1:2" x14ac:dyDescent="0.25">
      <c r="A129" s="8">
        <f ca="1">ROUND(_xlfn.NORM.INV(RAND(),Parameters!$B$2,Parameters!$B$3),0)</f>
        <v>34</v>
      </c>
      <c r="B129" s="6">
        <f t="shared" ca="1" si="1"/>
        <v>2</v>
      </c>
    </row>
    <row r="130" spans="1:2" x14ac:dyDescent="0.25">
      <c r="A130" s="8">
        <f ca="1">ROUND(_xlfn.NORM.INV(RAND(),Parameters!$B$2,Parameters!$B$3),0)</f>
        <v>32</v>
      </c>
      <c r="B130" s="6">
        <f t="shared" ca="1" si="1"/>
        <v>1</v>
      </c>
    </row>
    <row r="131" spans="1:2" x14ac:dyDescent="0.25">
      <c r="A131" s="8">
        <f ca="1">ROUND(_xlfn.NORM.INV(RAND(),Parameters!$B$2,Parameters!$B$3),0)</f>
        <v>36</v>
      </c>
      <c r="B131" s="6">
        <f t="shared" ref="B131:B194" ca="1" si="2">RANDBETWEEN(1,4)</f>
        <v>3</v>
      </c>
    </row>
    <row r="132" spans="1:2" x14ac:dyDescent="0.25">
      <c r="A132" s="8">
        <f ca="1">ROUND(_xlfn.NORM.INV(RAND(),Parameters!$B$2,Parameters!$B$3),0)</f>
        <v>36</v>
      </c>
      <c r="B132" s="6">
        <f t="shared" ca="1" si="2"/>
        <v>3</v>
      </c>
    </row>
    <row r="133" spans="1:2" x14ac:dyDescent="0.25">
      <c r="A133" s="8">
        <f ca="1">ROUND(_xlfn.NORM.INV(RAND(),Parameters!$B$2,Parameters!$B$3),0)</f>
        <v>30</v>
      </c>
      <c r="B133" s="6">
        <f t="shared" ca="1" si="2"/>
        <v>2</v>
      </c>
    </row>
    <row r="134" spans="1:2" x14ac:dyDescent="0.25">
      <c r="A134" s="8">
        <f ca="1">ROUND(_xlfn.NORM.INV(RAND(),Parameters!$B$2,Parameters!$B$3),0)</f>
        <v>33</v>
      </c>
      <c r="B134" s="6">
        <f t="shared" ca="1" si="2"/>
        <v>1</v>
      </c>
    </row>
    <row r="135" spans="1:2" x14ac:dyDescent="0.25">
      <c r="A135" s="8">
        <f ca="1">ROUND(_xlfn.NORM.INV(RAND(),Parameters!$B$2,Parameters!$B$3),0)</f>
        <v>55</v>
      </c>
      <c r="B135" s="6">
        <f t="shared" ca="1" si="2"/>
        <v>2</v>
      </c>
    </row>
    <row r="136" spans="1:2" x14ac:dyDescent="0.25">
      <c r="A136" s="8">
        <f ca="1">ROUND(_xlfn.NORM.INV(RAND(),Parameters!$B$2,Parameters!$B$3),0)</f>
        <v>41</v>
      </c>
      <c r="B136" s="6">
        <f t="shared" ca="1" si="2"/>
        <v>1</v>
      </c>
    </row>
    <row r="137" spans="1:2" x14ac:dyDescent="0.25">
      <c r="A137" s="8">
        <f ca="1">ROUND(_xlfn.NORM.INV(RAND(),Parameters!$B$2,Parameters!$B$3),0)</f>
        <v>37</v>
      </c>
      <c r="B137" s="6">
        <f t="shared" ca="1" si="2"/>
        <v>3</v>
      </c>
    </row>
    <row r="138" spans="1:2" x14ac:dyDescent="0.25">
      <c r="A138" s="8">
        <f ca="1">ROUND(_xlfn.NORM.INV(RAND(),Parameters!$B$2,Parameters!$B$3),0)</f>
        <v>37</v>
      </c>
      <c r="B138" s="6">
        <f t="shared" ca="1" si="2"/>
        <v>1</v>
      </c>
    </row>
    <row r="139" spans="1:2" x14ac:dyDescent="0.25">
      <c r="A139" s="8">
        <f ca="1">ROUND(_xlfn.NORM.INV(RAND(),Parameters!$B$2,Parameters!$B$3),0)</f>
        <v>30</v>
      </c>
      <c r="B139" s="6">
        <f t="shared" ca="1" si="2"/>
        <v>1</v>
      </c>
    </row>
    <row r="140" spans="1:2" x14ac:dyDescent="0.25">
      <c r="A140" s="8">
        <f ca="1">ROUND(_xlfn.NORM.INV(RAND(),Parameters!$B$2,Parameters!$B$3),0)</f>
        <v>17</v>
      </c>
      <c r="B140" s="6">
        <f t="shared" ca="1" si="2"/>
        <v>2</v>
      </c>
    </row>
    <row r="141" spans="1:2" x14ac:dyDescent="0.25">
      <c r="A141" s="8">
        <f ca="1">ROUND(_xlfn.NORM.INV(RAND(),Parameters!$B$2,Parameters!$B$3),0)</f>
        <v>39</v>
      </c>
      <c r="B141" s="6">
        <f t="shared" ca="1" si="2"/>
        <v>4</v>
      </c>
    </row>
    <row r="142" spans="1:2" x14ac:dyDescent="0.25">
      <c r="A142" s="8">
        <f ca="1">ROUND(_xlfn.NORM.INV(RAND(),Parameters!$B$2,Parameters!$B$3),0)</f>
        <v>42</v>
      </c>
      <c r="B142" s="6">
        <f t="shared" ca="1" si="2"/>
        <v>2</v>
      </c>
    </row>
    <row r="143" spans="1:2" x14ac:dyDescent="0.25">
      <c r="A143" s="8">
        <f ca="1">ROUND(_xlfn.NORM.INV(RAND(),Parameters!$B$2,Parameters!$B$3),0)</f>
        <v>25</v>
      </c>
      <c r="B143" s="6">
        <f t="shared" ca="1" si="2"/>
        <v>3</v>
      </c>
    </row>
    <row r="144" spans="1:2" x14ac:dyDescent="0.25">
      <c r="A144" s="8">
        <f ca="1">ROUND(_xlfn.NORM.INV(RAND(),Parameters!$B$2,Parameters!$B$3),0)</f>
        <v>49</v>
      </c>
      <c r="B144" s="6">
        <f t="shared" ca="1" si="2"/>
        <v>2</v>
      </c>
    </row>
    <row r="145" spans="1:2" x14ac:dyDescent="0.25">
      <c r="A145" s="8">
        <f ca="1">ROUND(_xlfn.NORM.INV(RAND(),Parameters!$B$2,Parameters!$B$3),0)</f>
        <v>38</v>
      </c>
      <c r="B145" s="6">
        <f t="shared" ca="1" si="2"/>
        <v>1</v>
      </c>
    </row>
    <row r="146" spans="1:2" x14ac:dyDescent="0.25">
      <c r="A146" s="8">
        <f ca="1">ROUND(_xlfn.NORM.INV(RAND(),Parameters!$B$2,Parameters!$B$3),0)</f>
        <v>37</v>
      </c>
      <c r="B146" s="6">
        <f t="shared" ca="1" si="2"/>
        <v>3</v>
      </c>
    </row>
    <row r="147" spans="1:2" x14ac:dyDescent="0.25">
      <c r="A147" s="8">
        <f ca="1">ROUND(_xlfn.NORM.INV(RAND(),Parameters!$B$2,Parameters!$B$3),0)</f>
        <v>37</v>
      </c>
      <c r="B147" s="6">
        <f t="shared" ca="1" si="2"/>
        <v>4</v>
      </c>
    </row>
    <row r="148" spans="1:2" x14ac:dyDescent="0.25">
      <c r="A148" s="8">
        <f ca="1">ROUND(_xlfn.NORM.INV(RAND(),Parameters!$B$2,Parameters!$B$3),0)</f>
        <v>21</v>
      </c>
      <c r="B148" s="6">
        <f t="shared" ca="1" si="2"/>
        <v>2</v>
      </c>
    </row>
    <row r="149" spans="1:2" x14ac:dyDescent="0.25">
      <c r="A149" s="8">
        <f ca="1">ROUND(_xlfn.NORM.INV(RAND(),Parameters!$B$2,Parameters!$B$3),0)</f>
        <v>44</v>
      </c>
      <c r="B149" s="6">
        <f t="shared" ca="1" si="2"/>
        <v>4</v>
      </c>
    </row>
    <row r="150" spans="1:2" x14ac:dyDescent="0.25">
      <c r="A150" s="8">
        <f ca="1">ROUND(_xlfn.NORM.INV(RAND(),Parameters!$B$2,Parameters!$B$3),0)</f>
        <v>33</v>
      </c>
      <c r="B150" s="6">
        <f t="shared" ca="1" si="2"/>
        <v>4</v>
      </c>
    </row>
    <row r="151" spans="1:2" x14ac:dyDescent="0.25">
      <c r="A151" s="8">
        <f ca="1">ROUND(_xlfn.NORM.INV(RAND(),Parameters!$B$2,Parameters!$B$3),0)</f>
        <v>31</v>
      </c>
      <c r="B151" s="6">
        <f t="shared" ca="1" si="2"/>
        <v>4</v>
      </c>
    </row>
    <row r="152" spans="1:2" x14ac:dyDescent="0.25">
      <c r="A152" s="8">
        <f ca="1">ROUND(_xlfn.NORM.INV(RAND(),Parameters!$B$2,Parameters!$B$3),0)</f>
        <v>38</v>
      </c>
      <c r="B152" s="6">
        <f t="shared" ca="1" si="2"/>
        <v>2</v>
      </c>
    </row>
    <row r="153" spans="1:2" x14ac:dyDescent="0.25">
      <c r="A153" s="8">
        <f ca="1">ROUND(_xlfn.NORM.INV(RAND(),Parameters!$B$2,Parameters!$B$3),0)</f>
        <v>32</v>
      </c>
      <c r="B153" s="6">
        <f t="shared" ca="1" si="2"/>
        <v>4</v>
      </c>
    </row>
    <row r="154" spans="1:2" x14ac:dyDescent="0.25">
      <c r="A154" s="8">
        <f ca="1">ROUND(_xlfn.NORM.INV(RAND(),Parameters!$B$2,Parameters!$B$3),0)</f>
        <v>29</v>
      </c>
      <c r="B154" s="6">
        <f t="shared" ca="1" si="2"/>
        <v>3</v>
      </c>
    </row>
    <row r="155" spans="1:2" x14ac:dyDescent="0.25">
      <c r="A155" s="8">
        <f ca="1">ROUND(_xlfn.NORM.INV(RAND(),Parameters!$B$2,Parameters!$B$3),0)</f>
        <v>38</v>
      </c>
      <c r="B155" s="6">
        <f t="shared" ca="1" si="2"/>
        <v>1</v>
      </c>
    </row>
    <row r="156" spans="1:2" x14ac:dyDescent="0.25">
      <c r="A156" s="8">
        <f ca="1">ROUND(_xlfn.NORM.INV(RAND(),Parameters!$B$2,Parameters!$B$3),0)</f>
        <v>32</v>
      </c>
      <c r="B156" s="6">
        <f t="shared" ca="1" si="2"/>
        <v>3</v>
      </c>
    </row>
    <row r="157" spans="1:2" x14ac:dyDescent="0.25">
      <c r="A157" s="8">
        <f ca="1">ROUND(_xlfn.NORM.INV(RAND(),Parameters!$B$2,Parameters!$B$3),0)</f>
        <v>40</v>
      </c>
      <c r="B157" s="6">
        <f t="shared" ca="1" si="2"/>
        <v>2</v>
      </c>
    </row>
    <row r="158" spans="1:2" x14ac:dyDescent="0.25">
      <c r="A158" s="8">
        <f ca="1">ROUND(_xlfn.NORM.INV(RAND(),Parameters!$B$2,Parameters!$B$3),0)</f>
        <v>33</v>
      </c>
      <c r="B158" s="6">
        <f t="shared" ca="1" si="2"/>
        <v>1</v>
      </c>
    </row>
    <row r="159" spans="1:2" x14ac:dyDescent="0.25">
      <c r="A159" s="8">
        <f ca="1">ROUND(_xlfn.NORM.INV(RAND(),Parameters!$B$2,Parameters!$B$3),0)</f>
        <v>35</v>
      </c>
      <c r="B159" s="6">
        <f t="shared" ca="1" si="2"/>
        <v>1</v>
      </c>
    </row>
    <row r="160" spans="1:2" x14ac:dyDescent="0.25">
      <c r="A160" s="8">
        <f ca="1">ROUND(_xlfn.NORM.INV(RAND(),Parameters!$B$2,Parameters!$B$3),0)</f>
        <v>27</v>
      </c>
      <c r="B160" s="6">
        <f t="shared" ca="1" si="2"/>
        <v>2</v>
      </c>
    </row>
    <row r="161" spans="1:2" x14ac:dyDescent="0.25">
      <c r="A161" s="8">
        <f ca="1">ROUND(_xlfn.NORM.INV(RAND(),Parameters!$B$2,Parameters!$B$3),0)</f>
        <v>29</v>
      </c>
      <c r="B161" s="6">
        <f t="shared" ca="1" si="2"/>
        <v>1</v>
      </c>
    </row>
    <row r="162" spans="1:2" x14ac:dyDescent="0.25">
      <c r="A162" s="8">
        <f ca="1">ROUND(_xlfn.NORM.INV(RAND(),Parameters!$B$2,Parameters!$B$3),0)</f>
        <v>30</v>
      </c>
      <c r="B162" s="6">
        <f t="shared" ca="1" si="2"/>
        <v>4</v>
      </c>
    </row>
    <row r="163" spans="1:2" x14ac:dyDescent="0.25">
      <c r="A163" s="8">
        <f ca="1">ROUND(_xlfn.NORM.INV(RAND(),Parameters!$B$2,Parameters!$B$3),0)</f>
        <v>37</v>
      </c>
      <c r="B163" s="6">
        <f t="shared" ca="1" si="2"/>
        <v>3</v>
      </c>
    </row>
    <row r="164" spans="1:2" x14ac:dyDescent="0.25">
      <c r="A164" s="8">
        <f ca="1">ROUND(_xlfn.NORM.INV(RAND(),Parameters!$B$2,Parameters!$B$3),0)</f>
        <v>30</v>
      </c>
      <c r="B164" s="6">
        <f t="shared" ca="1" si="2"/>
        <v>2</v>
      </c>
    </row>
    <row r="165" spans="1:2" x14ac:dyDescent="0.25">
      <c r="A165" s="8">
        <f ca="1">ROUND(_xlfn.NORM.INV(RAND(),Parameters!$B$2,Parameters!$B$3),0)</f>
        <v>37</v>
      </c>
      <c r="B165" s="6">
        <f t="shared" ca="1" si="2"/>
        <v>2</v>
      </c>
    </row>
    <row r="166" spans="1:2" x14ac:dyDescent="0.25">
      <c r="A166" s="8">
        <f ca="1">ROUND(_xlfn.NORM.INV(RAND(),Parameters!$B$2,Parameters!$B$3),0)</f>
        <v>37</v>
      </c>
      <c r="B166" s="6">
        <f t="shared" ca="1" si="2"/>
        <v>1</v>
      </c>
    </row>
    <row r="167" spans="1:2" x14ac:dyDescent="0.25">
      <c r="A167" s="8">
        <f ca="1">ROUND(_xlfn.NORM.INV(RAND(),Parameters!$B$2,Parameters!$B$3),0)</f>
        <v>41</v>
      </c>
      <c r="B167" s="6">
        <f t="shared" ca="1" si="2"/>
        <v>1</v>
      </c>
    </row>
    <row r="168" spans="1:2" x14ac:dyDescent="0.25">
      <c r="A168" s="8">
        <f ca="1">ROUND(_xlfn.NORM.INV(RAND(),Parameters!$B$2,Parameters!$B$3),0)</f>
        <v>41</v>
      </c>
      <c r="B168" s="6">
        <f t="shared" ca="1" si="2"/>
        <v>3</v>
      </c>
    </row>
    <row r="169" spans="1:2" x14ac:dyDescent="0.25">
      <c r="A169" s="8">
        <f ca="1">ROUND(_xlfn.NORM.INV(RAND(),Parameters!$B$2,Parameters!$B$3),0)</f>
        <v>38</v>
      </c>
      <c r="B169" s="6">
        <f t="shared" ca="1" si="2"/>
        <v>1</v>
      </c>
    </row>
    <row r="170" spans="1:2" x14ac:dyDescent="0.25">
      <c r="A170" s="8">
        <f ca="1">ROUND(_xlfn.NORM.INV(RAND(),Parameters!$B$2,Parameters!$B$3),0)</f>
        <v>32</v>
      </c>
      <c r="B170" s="6">
        <f t="shared" ca="1" si="2"/>
        <v>1</v>
      </c>
    </row>
    <row r="171" spans="1:2" x14ac:dyDescent="0.25">
      <c r="A171" s="8">
        <f ca="1">ROUND(_xlfn.NORM.INV(RAND(),Parameters!$B$2,Parameters!$B$3),0)</f>
        <v>29</v>
      </c>
      <c r="B171" s="6">
        <f t="shared" ca="1" si="2"/>
        <v>4</v>
      </c>
    </row>
    <row r="172" spans="1:2" x14ac:dyDescent="0.25">
      <c r="A172" s="8">
        <f ca="1">ROUND(_xlfn.NORM.INV(RAND(),Parameters!$B$2,Parameters!$B$3),0)</f>
        <v>28</v>
      </c>
      <c r="B172" s="6">
        <f t="shared" ca="1" si="2"/>
        <v>3</v>
      </c>
    </row>
    <row r="173" spans="1:2" x14ac:dyDescent="0.25">
      <c r="A173" s="8">
        <f ca="1">ROUND(_xlfn.NORM.INV(RAND(),Parameters!$B$2,Parameters!$B$3),0)</f>
        <v>34</v>
      </c>
      <c r="B173" s="6">
        <f t="shared" ca="1" si="2"/>
        <v>3</v>
      </c>
    </row>
    <row r="174" spans="1:2" x14ac:dyDescent="0.25">
      <c r="A174" s="8">
        <f ca="1">ROUND(_xlfn.NORM.INV(RAND(),Parameters!$B$2,Parameters!$B$3),0)</f>
        <v>44</v>
      </c>
      <c r="B174" s="6">
        <f t="shared" ca="1" si="2"/>
        <v>2</v>
      </c>
    </row>
    <row r="175" spans="1:2" x14ac:dyDescent="0.25">
      <c r="A175" s="8">
        <f ca="1">ROUND(_xlfn.NORM.INV(RAND(),Parameters!$B$2,Parameters!$B$3),0)</f>
        <v>36</v>
      </c>
      <c r="B175" s="6">
        <f t="shared" ca="1" si="2"/>
        <v>3</v>
      </c>
    </row>
    <row r="176" spans="1:2" x14ac:dyDescent="0.25">
      <c r="A176" s="8">
        <f ca="1">ROUND(_xlfn.NORM.INV(RAND(),Parameters!$B$2,Parameters!$B$3),0)</f>
        <v>33</v>
      </c>
      <c r="B176" s="6">
        <f t="shared" ca="1" si="2"/>
        <v>4</v>
      </c>
    </row>
    <row r="177" spans="1:2" x14ac:dyDescent="0.25">
      <c r="A177" s="8">
        <f ca="1">ROUND(_xlfn.NORM.INV(RAND(),Parameters!$B$2,Parameters!$B$3),0)</f>
        <v>34</v>
      </c>
      <c r="B177" s="6">
        <f t="shared" ca="1" si="2"/>
        <v>2</v>
      </c>
    </row>
    <row r="178" spans="1:2" x14ac:dyDescent="0.25">
      <c r="A178" s="8">
        <f ca="1">ROUND(_xlfn.NORM.INV(RAND(),Parameters!$B$2,Parameters!$B$3),0)</f>
        <v>39</v>
      </c>
      <c r="B178" s="6">
        <f t="shared" ca="1" si="2"/>
        <v>4</v>
      </c>
    </row>
    <row r="179" spans="1:2" x14ac:dyDescent="0.25">
      <c r="A179" s="8">
        <f ca="1">ROUND(_xlfn.NORM.INV(RAND(),Parameters!$B$2,Parameters!$B$3),0)</f>
        <v>30</v>
      </c>
      <c r="B179" s="6">
        <f t="shared" ca="1" si="2"/>
        <v>4</v>
      </c>
    </row>
    <row r="180" spans="1:2" x14ac:dyDescent="0.25">
      <c r="A180" s="8">
        <f ca="1">ROUND(_xlfn.NORM.INV(RAND(),Parameters!$B$2,Parameters!$B$3),0)</f>
        <v>21</v>
      </c>
      <c r="B180" s="6">
        <f t="shared" ca="1" si="2"/>
        <v>1</v>
      </c>
    </row>
    <row r="181" spans="1:2" x14ac:dyDescent="0.25">
      <c r="A181" s="8">
        <f ca="1">ROUND(_xlfn.NORM.INV(RAND(),Parameters!$B$2,Parameters!$B$3),0)</f>
        <v>28</v>
      </c>
      <c r="B181" s="6">
        <f t="shared" ca="1" si="2"/>
        <v>3</v>
      </c>
    </row>
    <row r="182" spans="1:2" x14ac:dyDescent="0.25">
      <c r="A182" s="8">
        <f ca="1">ROUND(_xlfn.NORM.INV(RAND(),Parameters!$B$2,Parameters!$B$3),0)</f>
        <v>37</v>
      </c>
      <c r="B182" s="6">
        <f t="shared" ca="1" si="2"/>
        <v>2</v>
      </c>
    </row>
    <row r="183" spans="1:2" x14ac:dyDescent="0.25">
      <c r="A183" s="8">
        <f ca="1">ROUND(_xlfn.NORM.INV(RAND(),Parameters!$B$2,Parameters!$B$3),0)</f>
        <v>32</v>
      </c>
      <c r="B183" s="6">
        <f t="shared" ca="1" si="2"/>
        <v>1</v>
      </c>
    </row>
    <row r="184" spans="1:2" x14ac:dyDescent="0.25">
      <c r="A184" s="8">
        <f ca="1">ROUND(_xlfn.NORM.INV(RAND(),Parameters!$B$2,Parameters!$B$3),0)</f>
        <v>23</v>
      </c>
      <c r="B184" s="6">
        <f t="shared" ca="1" si="2"/>
        <v>4</v>
      </c>
    </row>
    <row r="185" spans="1:2" x14ac:dyDescent="0.25">
      <c r="A185" s="8">
        <f ca="1">ROUND(_xlfn.NORM.INV(RAND(),Parameters!$B$2,Parameters!$B$3),0)</f>
        <v>39</v>
      </c>
      <c r="B185" s="6">
        <f t="shared" ca="1" si="2"/>
        <v>4</v>
      </c>
    </row>
    <row r="186" spans="1:2" x14ac:dyDescent="0.25">
      <c r="A186" s="8">
        <f ca="1">ROUND(_xlfn.NORM.INV(RAND(),Parameters!$B$2,Parameters!$B$3),0)</f>
        <v>42</v>
      </c>
      <c r="B186" s="6">
        <f t="shared" ca="1" si="2"/>
        <v>4</v>
      </c>
    </row>
    <row r="187" spans="1:2" x14ac:dyDescent="0.25">
      <c r="A187" s="8">
        <f ca="1">ROUND(_xlfn.NORM.INV(RAND(),Parameters!$B$2,Parameters!$B$3),0)</f>
        <v>36</v>
      </c>
      <c r="B187" s="6">
        <f t="shared" ca="1" si="2"/>
        <v>2</v>
      </c>
    </row>
    <row r="188" spans="1:2" x14ac:dyDescent="0.25">
      <c r="A188" s="8">
        <f ca="1">ROUND(_xlfn.NORM.INV(RAND(),Parameters!$B$2,Parameters!$B$3),0)</f>
        <v>33</v>
      </c>
      <c r="B188" s="6">
        <f t="shared" ca="1" si="2"/>
        <v>3</v>
      </c>
    </row>
    <row r="189" spans="1:2" x14ac:dyDescent="0.25">
      <c r="A189" s="8">
        <f ca="1">ROUND(_xlfn.NORM.INV(RAND(),Parameters!$B$2,Parameters!$B$3),0)</f>
        <v>40</v>
      </c>
      <c r="B189" s="6">
        <f t="shared" ca="1" si="2"/>
        <v>2</v>
      </c>
    </row>
    <row r="190" spans="1:2" x14ac:dyDescent="0.25">
      <c r="A190" s="8">
        <f ca="1">ROUND(_xlfn.NORM.INV(RAND(),Parameters!$B$2,Parameters!$B$3),0)</f>
        <v>23</v>
      </c>
      <c r="B190" s="6">
        <f t="shared" ca="1" si="2"/>
        <v>2</v>
      </c>
    </row>
    <row r="191" spans="1:2" x14ac:dyDescent="0.25">
      <c r="A191" s="8">
        <f ca="1">ROUND(_xlfn.NORM.INV(RAND(),Parameters!$B$2,Parameters!$B$3),0)</f>
        <v>31</v>
      </c>
      <c r="B191" s="6">
        <f t="shared" ca="1" si="2"/>
        <v>1</v>
      </c>
    </row>
    <row r="192" spans="1:2" x14ac:dyDescent="0.25">
      <c r="A192" s="8">
        <f ca="1">ROUND(_xlfn.NORM.INV(RAND(),Parameters!$B$2,Parameters!$B$3),0)</f>
        <v>32</v>
      </c>
      <c r="B192" s="6">
        <f t="shared" ca="1" si="2"/>
        <v>1</v>
      </c>
    </row>
    <row r="193" spans="1:2" x14ac:dyDescent="0.25">
      <c r="A193" s="8">
        <f ca="1">ROUND(_xlfn.NORM.INV(RAND(),Parameters!$B$2,Parameters!$B$3),0)</f>
        <v>31</v>
      </c>
      <c r="B193" s="6">
        <f t="shared" ca="1" si="2"/>
        <v>2</v>
      </c>
    </row>
    <row r="194" spans="1:2" x14ac:dyDescent="0.25">
      <c r="A194" s="8">
        <f ca="1">ROUND(_xlfn.NORM.INV(RAND(),Parameters!$B$2,Parameters!$B$3),0)</f>
        <v>31</v>
      </c>
      <c r="B194" s="6">
        <f t="shared" ca="1" si="2"/>
        <v>2</v>
      </c>
    </row>
    <row r="195" spans="1:2" x14ac:dyDescent="0.25">
      <c r="A195" s="8">
        <f ca="1">ROUND(_xlfn.NORM.INV(RAND(),Parameters!$B$2,Parameters!$B$3),0)</f>
        <v>41</v>
      </c>
      <c r="B195" s="6">
        <f t="shared" ref="B195:B251" ca="1" si="3">RANDBETWEEN(1,4)</f>
        <v>3</v>
      </c>
    </row>
    <row r="196" spans="1:2" x14ac:dyDescent="0.25">
      <c r="A196" s="8">
        <f ca="1">ROUND(_xlfn.NORM.INV(RAND(),Parameters!$B$2,Parameters!$B$3),0)</f>
        <v>31</v>
      </c>
      <c r="B196" s="6">
        <f t="shared" ca="1" si="3"/>
        <v>4</v>
      </c>
    </row>
    <row r="197" spans="1:2" x14ac:dyDescent="0.25">
      <c r="A197" s="8">
        <f ca="1">ROUND(_xlfn.NORM.INV(RAND(),Parameters!$B$2,Parameters!$B$3),0)</f>
        <v>31</v>
      </c>
      <c r="B197" s="6">
        <f t="shared" ca="1" si="3"/>
        <v>1</v>
      </c>
    </row>
    <row r="198" spans="1:2" x14ac:dyDescent="0.25">
      <c r="A198" s="8">
        <f ca="1">ROUND(_xlfn.NORM.INV(RAND(),Parameters!$B$2,Parameters!$B$3),0)</f>
        <v>35</v>
      </c>
      <c r="B198" s="6">
        <f t="shared" ca="1" si="3"/>
        <v>3</v>
      </c>
    </row>
    <row r="199" spans="1:2" x14ac:dyDescent="0.25">
      <c r="A199" s="8">
        <f ca="1">ROUND(_xlfn.NORM.INV(RAND(),Parameters!$B$2,Parameters!$B$3),0)</f>
        <v>34</v>
      </c>
      <c r="B199" s="6">
        <f t="shared" ca="1" si="3"/>
        <v>3</v>
      </c>
    </row>
    <row r="200" spans="1:2" x14ac:dyDescent="0.25">
      <c r="A200" s="8">
        <f ca="1">ROUND(_xlfn.NORM.INV(RAND(),Parameters!$B$2,Parameters!$B$3),0)</f>
        <v>40</v>
      </c>
      <c r="B200" s="6">
        <f t="shared" ca="1" si="3"/>
        <v>2</v>
      </c>
    </row>
    <row r="201" spans="1:2" x14ac:dyDescent="0.25">
      <c r="A201" s="8">
        <f ca="1">ROUND(_xlfn.NORM.INV(RAND(),Parameters!$B$2,Parameters!$B$3),0)</f>
        <v>35</v>
      </c>
      <c r="B201" s="6">
        <f t="shared" ca="1" si="3"/>
        <v>4</v>
      </c>
    </row>
    <row r="202" spans="1:2" x14ac:dyDescent="0.25">
      <c r="A202" s="8">
        <f ca="1">ROUND(_xlfn.NORM.INV(RAND(),Parameters!$B$2,Parameters!$B$3),0)</f>
        <v>33</v>
      </c>
      <c r="B202" s="6">
        <f t="shared" ca="1" si="3"/>
        <v>4</v>
      </c>
    </row>
    <row r="203" spans="1:2" x14ac:dyDescent="0.25">
      <c r="A203" s="8">
        <f ca="1">ROUND(_xlfn.NORM.INV(RAND(),Parameters!$B$2,Parameters!$B$3),0)</f>
        <v>46</v>
      </c>
      <c r="B203" s="6">
        <f t="shared" ca="1" si="3"/>
        <v>2</v>
      </c>
    </row>
    <row r="204" spans="1:2" x14ac:dyDescent="0.25">
      <c r="A204" s="8">
        <f ca="1">ROUND(_xlfn.NORM.INV(RAND(),Parameters!$B$2,Parameters!$B$3),0)</f>
        <v>40</v>
      </c>
      <c r="B204" s="6">
        <f t="shared" ca="1" si="3"/>
        <v>1</v>
      </c>
    </row>
    <row r="205" spans="1:2" x14ac:dyDescent="0.25">
      <c r="A205" s="8">
        <f ca="1">ROUND(_xlfn.NORM.INV(RAND(),Parameters!$B$2,Parameters!$B$3),0)</f>
        <v>20</v>
      </c>
      <c r="B205" s="6">
        <f t="shared" ca="1" si="3"/>
        <v>3</v>
      </c>
    </row>
    <row r="206" spans="1:2" x14ac:dyDescent="0.25">
      <c r="A206" s="8">
        <f ca="1">ROUND(_xlfn.NORM.INV(RAND(),Parameters!$B$2,Parameters!$B$3),0)</f>
        <v>30</v>
      </c>
      <c r="B206" s="6">
        <f t="shared" ca="1" si="3"/>
        <v>4</v>
      </c>
    </row>
    <row r="207" spans="1:2" x14ac:dyDescent="0.25">
      <c r="A207" s="8">
        <f ca="1">ROUND(_xlfn.NORM.INV(RAND(),Parameters!$B$2,Parameters!$B$3),0)</f>
        <v>28</v>
      </c>
      <c r="B207" s="6">
        <f t="shared" ca="1" si="3"/>
        <v>4</v>
      </c>
    </row>
    <row r="208" spans="1:2" x14ac:dyDescent="0.25">
      <c r="A208" s="8">
        <f ca="1">ROUND(_xlfn.NORM.INV(RAND(),Parameters!$B$2,Parameters!$B$3),0)</f>
        <v>34</v>
      </c>
      <c r="B208" s="6">
        <f t="shared" ca="1" si="3"/>
        <v>1</v>
      </c>
    </row>
    <row r="209" spans="1:2" x14ac:dyDescent="0.25">
      <c r="A209" s="8">
        <f ca="1">ROUND(_xlfn.NORM.INV(RAND(),Parameters!$B$2,Parameters!$B$3),0)</f>
        <v>35</v>
      </c>
      <c r="B209" s="6">
        <f t="shared" ca="1" si="3"/>
        <v>4</v>
      </c>
    </row>
    <row r="210" spans="1:2" x14ac:dyDescent="0.25">
      <c r="A210" s="8">
        <f ca="1">ROUND(_xlfn.NORM.INV(RAND(),Parameters!$B$2,Parameters!$B$3),0)</f>
        <v>39</v>
      </c>
      <c r="B210" s="6">
        <f t="shared" ca="1" si="3"/>
        <v>3</v>
      </c>
    </row>
    <row r="211" spans="1:2" x14ac:dyDescent="0.25">
      <c r="A211" s="8">
        <f ca="1">ROUND(_xlfn.NORM.INV(RAND(),Parameters!$B$2,Parameters!$B$3),0)</f>
        <v>36</v>
      </c>
      <c r="B211" s="6">
        <f t="shared" ca="1" si="3"/>
        <v>4</v>
      </c>
    </row>
    <row r="212" spans="1:2" x14ac:dyDescent="0.25">
      <c r="A212" s="8">
        <f ca="1">ROUND(_xlfn.NORM.INV(RAND(),Parameters!$B$2,Parameters!$B$3),0)</f>
        <v>28</v>
      </c>
      <c r="B212" s="6">
        <f t="shared" ca="1" si="3"/>
        <v>4</v>
      </c>
    </row>
    <row r="213" spans="1:2" x14ac:dyDescent="0.25">
      <c r="A213" s="8">
        <f ca="1">ROUND(_xlfn.NORM.INV(RAND(),Parameters!$B$2,Parameters!$B$3),0)</f>
        <v>35</v>
      </c>
      <c r="B213" s="6">
        <f t="shared" ca="1" si="3"/>
        <v>1</v>
      </c>
    </row>
    <row r="214" spans="1:2" x14ac:dyDescent="0.25">
      <c r="A214" s="8">
        <f ca="1">ROUND(_xlfn.NORM.INV(RAND(),Parameters!$B$2,Parameters!$B$3),0)</f>
        <v>44</v>
      </c>
      <c r="B214" s="6">
        <f t="shared" ca="1" si="3"/>
        <v>1</v>
      </c>
    </row>
    <row r="215" spans="1:2" x14ac:dyDescent="0.25">
      <c r="A215" s="8">
        <f ca="1">ROUND(_xlfn.NORM.INV(RAND(),Parameters!$B$2,Parameters!$B$3),0)</f>
        <v>44</v>
      </c>
      <c r="B215" s="6">
        <f t="shared" ca="1" si="3"/>
        <v>1</v>
      </c>
    </row>
    <row r="216" spans="1:2" x14ac:dyDescent="0.25">
      <c r="A216" s="8">
        <f ca="1">ROUND(_xlfn.NORM.INV(RAND(),Parameters!$B$2,Parameters!$B$3),0)</f>
        <v>36</v>
      </c>
      <c r="B216" s="6">
        <f t="shared" ca="1" si="3"/>
        <v>3</v>
      </c>
    </row>
    <row r="217" spans="1:2" x14ac:dyDescent="0.25">
      <c r="A217" s="8">
        <f ca="1">ROUND(_xlfn.NORM.INV(RAND(),Parameters!$B$2,Parameters!$B$3),0)</f>
        <v>39</v>
      </c>
      <c r="B217" s="6">
        <f t="shared" ca="1" si="3"/>
        <v>2</v>
      </c>
    </row>
    <row r="218" spans="1:2" x14ac:dyDescent="0.25">
      <c r="A218" s="8">
        <f ca="1">ROUND(_xlfn.NORM.INV(RAND(),Parameters!$B$2,Parameters!$B$3),0)</f>
        <v>27</v>
      </c>
      <c r="B218" s="6">
        <f t="shared" ca="1" si="3"/>
        <v>2</v>
      </c>
    </row>
    <row r="219" spans="1:2" x14ac:dyDescent="0.25">
      <c r="A219" s="8">
        <f ca="1">ROUND(_xlfn.NORM.INV(RAND(),Parameters!$B$2,Parameters!$B$3),0)</f>
        <v>46</v>
      </c>
      <c r="B219" s="6">
        <f t="shared" ca="1" si="3"/>
        <v>1</v>
      </c>
    </row>
    <row r="220" spans="1:2" x14ac:dyDescent="0.25">
      <c r="A220" s="8">
        <f ca="1">ROUND(_xlfn.NORM.INV(RAND(),Parameters!$B$2,Parameters!$B$3),0)</f>
        <v>30</v>
      </c>
      <c r="B220" s="6">
        <f t="shared" ca="1" si="3"/>
        <v>3</v>
      </c>
    </row>
    <row r="221" spans="1:2" x14ac:dyDescent="0.25">
      <c r="A221" s="8">
        <f ca="1">ROUND(_xlfn.NORM.INV(RAND(),Parameters!$B$2,Parameters!$B$3),0)</f>
        <v>45</v>
      </c>
      <c r="B221" s="6">
        <f t="shared" ca="1" si="3"/>
        <v>3</v>
      </c>
    </row>
    <row r="222" spans="1:2" x14ac:dyDescent="0.25">
      <c r="A222" s="8">
        <f ca="1">ROUND(_xlfn.NORM.INV(RAND(),Parameters!$B$2,Parameters!$B$3),0)</f>
        <v>41</v>
      </c>
      <c r="B222" s="6">
        <f t="shared" ca="1" si="3"/>
        <v>3</v>
      </c>
    </row>
    <row r="223" spans="1:2" x14ac:dyDescent="0.25">
      <c r="A223" s="8">
        <f ca="1">ROUND(_xlfn.NORM.INV(RAND(),Parameters!$B$2,Parameters!$B$3),0)</f>
        <v>36</v>
      </c>
      <c r="B223" s="6">
        <f t="shared" ca="1" si="3"/>
        <v>4</v>
      </c>
    </row>
    <row r="224" spans="1:2" x14ac:dyDescent="0.25">
      <c r="A224" s="8">
        <f ca="1">ROUND(_xlfn.NORM.INV(RAND(),Parameters!$B$2,Parameters!$B$3),0)</f>
        <v>36</v>
      </c>
      <c r="B224" s="6">
        <f t="shared" ca="1" si="3"/>
        <v>4</v>
      </c>
    </row>
    <row r="225" spans="1:2" x14ac:dyDescent="0.25">
      <c r="A225" s="8">
        <f ca="1">ROUND(_xlfn.NORM.INV(RAND(),Parameters!$B$2,Parameters!$B$3),0)</f>
        <v>35</v>
      </c>
      <c r="B225" s="6">
        <f t="shared" ca="1" si="3"/>
        <v>3</v>
      </c>
    </row>
    <row r="226" spans="1:2" x14ac:dyDescent="0.25">
      <c r="A226" s="8">
        <f ca="1">ROUND(_xlfn.NORM.INV(RAND(),Parameters!$B$2,Parameters!$B$3),0)</f>
        <v>32</v>
      </c>
      <c r="B226" s="6">
        <f t="shared" ca="1" si="3"/>
        <v>2</v>
      </c>
    </row>
    <row r="227" spans="1:2" x14ac:dyDescent="0.25">
      <c r="A227" s="8">
        <f ca="1">ROUND(_xlfn.NORM.INV(RAND(),Parameters!$B$2,Parameters!$B$3),0)</f>
        <v>35</v>
      </c>
      <c r="B227" s="6">
        <f t="shared" ca="1" si="3"/>
        <v>4</v>
      </c>
    </row>
    <row r="228" spans="1:2" x14ac:dyDescent="0.25">
      <c r="A228" s="8">
        <f ca="1">ROUND(_xlfn.NORM.INV(RAND(),Parameters!$B$2,Parameters!$B$3),0)</f>
        <v>45</v>
      </c>
      <c r="B228" s="6">
        <f t="shared" ca="1" si="3"/>
        <v>3</v>
      </c>
    </row>
    <row r="229" spans="1:2" x14ac:dyDescent="0.25">
      <c r="A229" s="8">
        <f ca="1">ROUND(_xlfn.NORM.INV(RAND(),Parameters!$B$2,Parameters!$B$3),0)</f>
        <v>41</v>
      </c>
      <c r="B229" s="6">
        <f t="shared" ca="1" si="3"/>
        <v>2</v>
      </c>
    </row>
    <row r="230" spans="1:2" x14ac:dyDescent="0.25">
      <c r="A230" s="8">
        <f ca="1">ROUND(_xlfn.NORM.INV(RAND(),Parameters!$B$2,Parameters!$B$3),0)</f>
        <v>33</v>
      </c>
      <c r="B230" s="6">
        <f t="shared" ca="1" si="3"/>
        <v>4</v>
      </c>
    </row>
    <row r="231" spans="1:2" x14ac:dyDescent="0.25">
      <c r="A231" s="8">
        <f ca="1">ROUND(_xlfn.NORM.INV(RAND(),Parameters!$B$2,Parameters!$B$3),0)</f>
        <v>45</v>
      </c>
      <c r="B231" s="6">
        <f t="shared" ca="1" si="3"/>
        <v>3</v>
      </c>
    </row>
    <row r="232" spans="1:2" x14ac:dyDescent="0.25">
      <c r="A232" s="8">
        <f ca="1">ROUND(_xlfn.NORM.INV(RAND(),Parameters!$B$2,Parameters!$B$3),0)</f>
        <v>42</v>
      </c>
      <c r="B232" s="6">
        <f t="shared" ca="1" si="3"/>
        <v>3</v>
      </c>
    </row>
    <row r="233" spans="1:2" x14ac:dyDescent="0.25">
      <c r="A233" s="8">
        <f ca="1">ROUND(_xlfn.NORM.INV(RAND(),Parameters!$B$2,Parameters!$B$3),0)</f>
        <v>41</v>
      </c>
      <c r="B233" s="6">
        <f t="shared" ca="1" si="3"/>
        <v>4</v>
      </c>
    </row>
    <row r="234" spans="1:2" x14ac:dyDescent="0.25">
      <c r="A234" s="8">
        <f ca="1">ROUND(_xlfn.NORM.INV(RAND(),Parameters!$B$2,Parameters!$B$3),0)</f>
        <v>36</v>
      </c>
      <c r="B234" s="6">
        <f t="shared" ca="1" si="3"/>
        <v>2</v>
      </c>
    </row>
    <row r="235" spans="1:2" x14ac:dyDescent="0.25">
      <c r="A235" s="8">
        <f ca="1">ROUND(_xlfn.NORM.INV(RAND(),Parameters!$B$2,Parameters!$B$3),0)</f>
        <v>23</v>
      </c>
      <c r="B235" s="6">
        <f t="shared" ca="1" si="3"/>
        <v>3</v>
      </c>
    </row>
    <row r="236" spans="1:2" x14ac:dyDescent="0.25">
      <c r="A236" s="8">
        <f ca="1">ROUND(_xlfn.NORM.INV(RAND(),Parameters!$B$2,Parameters!$B$3),0)</f>
        <v>13</v>
      </c>
      <c r="B236" s="6">
        <f t="shared" ca="1" si="3"/>
        <v>1</v>
      </c>
    </row>
    <row r="237" spans="1:2" x14ac:dyDescent="0.25">
      <c r="A237" s="8">
        <f ca="1">ROUND(_xlfn.NORM.INV(RAND(),Parameters!$B$2,Parameters!$B$3),0)</f>
        <v>31</v>
      </c>
      <c r="B237" s="6">
        <f t="shared" ca="1" si="3"/>
        <v>2</v>
      </c>
    </row>
    <row r="238" spans="1:2" x14ac:dyDescent="0.25">
      <c r="A238" s="8">
        <f ca="1">ROUND(_xlfn.NORM.INV(RAND(),Parameters!$B$2,Parameters!$B$3),0)</f>
        <v>23</v>
      </c>
      <c r="B238" s="6">
        <f t="shared" ca="1" si="3"/>
        <v>4</v>
      </c>
    </row>
    <row r="239" spans="1:2" x14ac:dyDescent="0.25">
      <c r="A239" s="8">
        <f ca="1">ROUND(_xlfn.NORM.INV(RAND(),Parameters!$B$2,Parameters!$B$3),0)</f>
        <v>42</v>
      </c>
      <c r="B239" s="6">
        <f t="shared" ca="1" si="3"/>
        <v>3</v>
      </c>
    </row>
    <row r="240" spans="1:2" x14ac:dyDescent="0.25">
      <c r="A240" s="8">
        <f ca="1">ROUND(_xlfn.NORM.INV(RAND(),Parameters!$B$2,Parameters!$B$3),0)</f>
        <v>45</v>
      </c>
      <c r="B240" s="6">
        <f t="shared" ca="1" si="3"/>
        <v>2</v>
      </c>
    </row>
    <row r="241" spans="1:2" x14ac:dyDescent="0.25">
      <c r="A241" s="8">
        <f ca="1">ROUND(_xlfn.NORM.INV(RAND(),Parameters!$B$2,Parameters!$B$3),0)</f>
        <v>43</v>
      </c>
      <c r="B241" s="6">
        <f t="shared" ca="1" si="3"/>
        <v>2</v>
      </c>
    </row>
    <row r="242" spans="1:2" x14ac:dyDescent="0.25">
      <c r="A242" s="8">
        <f ca="1">ROUND(_xlfn.NORM.INV(RAND(),Parameters!$B$2,Parameters!$B$3),0)</f>
        <v>38</v>
      </c>
      <c r="B242" s="6">
        <f t="shared" ca="1" si="3"/>
        <v>4</v>
      </c>
    </row>
    <row r="243" spans="1:2" x14ac:dyDescent="0.25">
      <c r="A243" s="8">
        <f ca="1">ROUND(_xlfn.NORM.INV(RAND(),Parameters!$B$2,Parameters!$B$3),0)</f>
        <v>39</v>
      </c>
      <c r="B243" s="6">
        <f t="shared" ca="1" si="3"/>
        <v>3</v>
      </c>
    </row>
    <row r="244" spans="1:2" x14ac:dyDescent="0.25">
      <c r="A244" s="8">
        <f ca="1">ROUND(_xlfn.NORM.INV(RAND(),Parameters!$B$2,Parameters!$B$3),0)</f>
        <v>34</v>
      </c>
      <c r="B244" s="6">
        <f t="shared" ca="1" si="3"/>
        <v>2</v>
      </c>
    </row>
    <row r="245" spans="1:2" x14ac:dyDescent="0.25">
      <c r="A245" s="8">
        <f ca="1">ROUND(_xlfn.NORM.INV(RAND(),Parameters!$B$2,Parameters!$B$3),0)</f>
        <v>22</v>
      </c>
      <c r="B245" s="6">
        <f t="shared" ca="1" si="3"/>
        <v>2</v>
      </c>
    </row>
    <row r="246" spans="1:2" x14ac:dyDescent="0.25">
      <c r="A246" s="8">
        <f ca="1">ROUND(_xlfn.NORM.INV(RAND(),Parameters!$B$2,Parameters!$B$3),0)</f>
        <v>28</v>
      </c>
      <c r="B246" s="6">
        <f t="shared" ca="1" si="3"/>
        <v>3</v>
      </c>
    </row>
    <row r="247" spans="1:2" x14ac:dyDescent="0.25">
      <c r="A247" s="8">
        <f ca="1">ROUND(_xlfn.NORM.INV(RAND(),Parameters!$B$2,Parameters!$B$3),0)</f>
        <v>39</v>
      </c>
      <c r="B247" s="6">
        <f t="shared" ca="1" si="3"/>
        <v>4</v>
      </c>
    </row>
    <row r="248" spans="1:2" x14ac:dyDescent="0.25">
      <c r="A248" s="8">
        <f ca="1">ROUND(_xlfn.NORM.INV(RAND(),Parameters!$B$2,Parameters!$B$3),0)</f>
        <v>27</v>
      </c>
      <c r="B248" s="6">
        <f t="shared" ca="1" si="3"/>
        <v>3</v>
      </c>
    </row>
    <row r="249" spans="1:2" x14ac:dyDescent="0.25">
      <c r="A249" s="8">
        <f ca="1">ROUND(_xlfn.NORM.INV(RAND(),Parameters!$B$2,Parameters!$B$3),0)</f>
        <v>36</v>
      </c>
      <c r="B249" s="6">
        <f t="shared" ca="1" si="3"/>
        <v>2</v>
      </c>
    </row>
    <row r="250" spans="1:2" x14ac:dyDescent="0.25">
      <c r="A250" s="8">
        <f ca="1">ROUND(_xlfn.NORM.INV(RAND(),Parameters!$B$2,Parameters!$B$3),0)</f>
        <v>37</v>
      </c>
      <c r="B250" s="6">
        <f t="shared" ca="1" si="3"/>
        <v>1</v>
      </c>
    </row>
    <row r="251" spans="1:2" x14ac:dyDescent="0.25">
      <c r="A251" s="8">
        <f ca="1">ROUND(_xlfn.NORM.INV(RAND(),Parameters!$B$2,Parameters!$B$3),0)</f>
        <v>29</v>
      </c>
      <c r="B251" s="6">
        <f t="shared" ca="1" si="3"/>
        <v>1</v>
      </c>
    </row>
    <row r="252" spans="1:2" s="4" customFormat="1" x14ac:dyDescent="0.25">
      <c r="A252" s="12"/>
    </row>
    <row r="253" spans="1:2" s="4" customFormat="1" x14ac:dyDescent="0.25">
      <c r="A253" s="12"/>
    </row>
    <row r="254" spans="1:2" s="4" customFormat="1" x14ac:dyDescent="0.25">
      <c r="A254" s="12"/>
    </row>
    <row r="255" spans="1:2" s="4" customFormat="1" x14ac:dyDescent="0.25">
      <c r="A255" s="12"/>
    </row>
    <row r="256" spans="1:2" s="4" customFormat="1" x14ac:dyDescent="0.25">
      <c r="A256" s="12"/>
    </row>
    <row r="257" spans="1:1" s="4" customFormat="1" x14ac:dyDescent="0.25">
      <c r="A257" s="12"/>
    </row>
    <row r="258" spans="1:1" s="4" customFormat="1" x14ac:dyDescent="0.25">
      <c r="A258" s="12"/>
    </row>
    <row r="259" spans="1:1" s="4" customFormat="1" x14ac:dyDescent="0.25">
      <c r="A259" s="12"/>
    </row>
    <row r="260" spans="1:1" s="4" customFormat="1" x14ac:dyDescent="0.25">
      <c r="A260" s="12"/>
    </row>
    <row r="261" spans="1:1" s="4" customFormat="1" x14ac:dyDescent="0.25">
      <c r="A261" s="12"/>
    </row>
    <row r="262" spans="1:1" s="4" customFormat="1" x14ac:dyDescent="0.25">
      <c r="A262" s="12"/>
    </row>
    <row r="263" spans="1:1" s="4" customFormat="1" x14ac:dyDescent="0.25">
      <c r="A263" s="12"/>
    </row>
    <row r="264" spans="1:1" s="4" customFormat="1" x14ac:dyDescent="0.25">
      <c r="A264" s="12"/>
    </row>
    <row r="265" spans="1:1" s="4" customFormat="1" x14ac:dyDescent="0.25">
      <c r="A265" s="12"/>
    </row>
    <row r="266" spans="1:1" s="4" customFormat="1" x14ac:dyDescent="0.25">
      <c r="A266" s="12"/>
    </row>
    <row r="267" spans="1:1" s="4" customFormat="1" x14ac:dyDescent="0.25">
      <c r="A267" s="12"/>
    </row>
    <row r="268" spans="1:1" s="4" customFormat="1" x14ac:dyDescent="0.25">
      <c r="A268" s="12"/>
    </row>
    <row r="269" spans="1:1" s="4" customFormat="1" x14ac:dyDescent="0.25">
      <c r="A269" s="12"/>
    </row>
    <row r="270" spans="1:1" s="4" customFormat="1" x14ac:dyDescent="0.25">
      <c r="A270" s="12"/>
    </row>
    <row r="271" spans="1:1" s="4" customFormat="1" x14ac:dyDescent="0.25">
      <c r="A271" s="12"/>
    </row>
    <row r="272" spans="1:1" s="4" customFormat="1" x14ac:dyDescent="0.25">
      <c r="A272" s="12"/>
    </row>
    <row r="273" spans="1:1" s="4" customFormat="1" x14ac:dyDescent="0.25">
      <c r="A273" s="12"/>
    </row>
    <row r="274" spans="1:1" s="4" customFormat="1" x14ac:dyDescent="0.25">
      <c r="A274" s="12"/>
    </row>
    <row r="275" spans="1:1" s="4" customFormat="1" x14ac:dyDescent="0.25">
      <c r="A275" s="12"/>
    </row>
    <row r="276" spans="1:1" s="4" customFormat="1" x14ac:dyDescent="0.25">
      <c r="A276" s="12"/>
    </row>
    <row r="277" spans="1:1" s="4" customFormat="1" x14ac:dyDescent="0.25">
      <c r="A277" s="12"/>
    </row>
    <row r="278" spans="1:1" s="4" customFormat="1" x14ac:dyDescent="0.25">
      <c r="A278" s="12"/>
    </row>
    <row r="279" spans="1:1" s="4" customFormat="1" x14ac:dyDescent="0.25">
      <c r="A279" s="12"/>
    </row>
    <row r="280" spans="1:1" s="4" customFormat="1" x14ac:dyDescent="0.25">
      <c r="A280" s="12"/>
    </row>
    <row r="281" spans="1:1" s="4" customFormat="1" x14ac:dyDescent="0.25"/>
    <row r="282" spans="1:1" s="4" customFormat="1" x14ac:dyDescent="0.25"/>
    <row r="283" spans="1:1" s="4" customFormat="1" x14ac:dyDescent="0.25"/>
    <row r="284" spans="1:1" s="4" customFormat="1" x14ac:dyDescent="0.25"/>
    <row r="285" spans="1:1" s="4" customFormat="1" x14ac:dyDescent="0.25"/>
    <row r="286" spans="1:1" s="4" customFormat="1" x14ac:dyDescent="0.25"/>
    <row r="287" spans="1:1" s="4" customFormat="1" x14ac:dyDescent="0.25"/>
    <row r="288" spans="1:1" s="4" customFormat="1" x14ac:dyDescent="0.25"/>
    <row r="289" s="4" customFormat="1" x14ac:dyDescent="0.25"/>
    <row r="290" s="4" customFormat="1" x14ac:dyDescent="0.25"/>
    <row r="291" s="4" customFormat="1" x14ac:dyDescent="0.25"/>
    <row r="292" s="4" customFormat="1" x14ac:dyDescent="0.25"/>
    <row r="293" s="4" customFormat="1" x14ac:dyDescent="0.25"/>
    <row r="294" s="4" customFormat="1" x14ac:dyDescent="0.25"/>
    <row r="295" s="4" customFormat="1" x14ac:dyDescent="0.25"/>
    <row r="296" s="4" customFormat="1" x14ac:dyDescent="0.25"/>
    <row r="297" s="4" customFormat="1" x14ac:dyDescent="0.25"/>
    <row r="298" s="4" customFormat="1" x14ac:dyDescent="0.25"/>
    <row r="299" s="4" customFormat="1" x14ac:dyDescent="0.25"/>
    <row r="300" s="4" customFormat="1" x14ac:dyDescent="0.25"/>
    <row r="301" s="4" customFormat="1" x14ac:dyDescent="0.25"/>
    <row r="302" s="4" customFormat="1" x14ac:dyDescent="0.25"/>
    <row r="303" s="4" customFormat="1" x14ac:dyDescent="0.25"/>
    <row r="304" s="4" customFormat="1" x14ac:dyDescent="0.25"/>
    <row r="305" s="4" customFormat="1" x14ac:dyDescent="0.25"/>
    <row r="306" s="4" customFormat="1" x14ac:dyDescent="0.25"/>
    <row r="307" s="4" customFormat="1" x14ac:dyDescent="0.25"/>
    <row r="308" s="4" customFormat="1" x14ac:dyDescent="0.25"/>
    <row r="309" s="4" customFormat="1" x14ac:dyDescent="0.25"/>
    <row r="310" s="4" customFormat="1" x14ac:dyDescent="0.25"/>
    <row r="311" s="4" customFormat="1" x14ac:dyDescent="0.25"/>
    <row r="312" s="4" customFormat="1" x14ac:dyDescent="0.25"/>
    <row r="313" s="4" customFormat="1" x14ac:dyDescent="0.25"/>
    <row r="314" s="4" customFormat="1" x14ac:dyDescent="0.25"/>
    <row r="315" s="4" customFormat="1" x14ac:dyDescent="0.25"/>
    <row r="316" s="4" customFormat="1" x14ac:dyDescent="0.25"/>
    <row r="317" s="4" customFormat="1" x14ac:dyDescent="0.25"/>
    <row r="318" s="4" customFormat="1" x14ac:dyDescent="0.25"/>
    <row r="319" s="4" customFormat="1" x14ac:dyDescent="0.25"/>
    <row r="320" s="4" customFormat="1" x14ac:dyDescent="0.25"/>
    <row r="321" s="4" customFormat="1" x14ac:dyDescent="0.25"/>
    <row r="322" s="4" customFormat="1" x14ac:dyDescent="0.25"/>
    <row r="323" s="4" customFormat="1" x14ac:dyDescent="0.25"/>
    <row r="324" s="4" customFormat="1" x14ac:dyDescent="0.25"/>
    <row r="325" s="4" customFormat="1" x14ac:dyDescent="0.25"/>
    <row r="326" s="4" customFormat="1" x14ac:dyDescent="0.25"/>
    <row r="327" s="4" customFormat="1" x14ac:dyDescent="0.25"/>
    <row r="328" s="4" customFormat="1" x14ac:dyDescent="0.25"/>
    <row r="329" s="4" customFormat="1" x14ac:dyDescent="0.25"/>
    <row r="330" s="4" customFormat="1" x14ac:dyDescent="0.25"/>
    <row r="331" s="4" customFormat="1" x14ac:dyDescent="0.25"/>
    <row r="332" s="4" customFormat="1" x14ac:dyDescent="0.25"/>
    <row r="333" s="4" customFormat="1" x14ac:dyDescent="0.25"/>
    <row r="334" s="4" customFormat="1" x14ac:dyDescent="0.25"/>
    <row r="335" s="4" customFormat="1" x14ac:dyDescent="0.25"/>
    <row r="336" s="4" customFormat="1" x14ac:dyDescent="0.25"/>
    <row r="337" s="4" customFormat="1" x14ac:dyDescent="0.25"/>
    <row r="338" s="4" customFormat="1" x14ac:dyDescent="0.25"/>
    <row r="339" s="4" customFormat="1" x14ac:dyDescent="0.25"/>
    <row r="340" s="4" customFormat="1" x14ac:dyDescent="0.25"/>
    <row r="341" s="4" customFormat="1" x14ac:dyDescent="0.25"/>
    <row r="342" s="4" customFormat="1" x14ac:dyDescent="0.25"/>
    <row r="343" s="4" customFormat="1" x14ac:dyDescent="0.25"/>
    <row r="344" s="4" customFormat="1" x14ac:dyDescent="0.25"/>
    <row r="345" s="4" customFormat="1" x14ac:dyDescent="0.25"/>
    <row r="346" s="4" customFormat="1" x14ac:dyDescent="0.25"/>
    <row r="347" s="4" customFormat="1" x14ac:dyDescent="0.25"/>
    <row r="348" s="4" customFormat="1" x14ac:dyDescent="0.25"/>
    <row r="349" s="4" customFormat="1" x14ac:dyDescent="0.25"/>
  </sheetData>
  <sortState xmlns:xlrd2="http://schemas.microsoft.com/office/spreadsheetml/2017/richdata2" ref="A2:A251">
    <sortCondition ref="A2:A25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EB494-6A70-438D-8E4B-6A1437607D3E}">
  <sheetPr filterMode="1"/>
  <dimension ref="A1:AH389"/>
  <sheetViews>
    <sheetView workbookViewId="0">
      <selection activeCell="F258" sqref="F258"/>
    </sheetView>
  </sheetViews>
  <sheetFormatPr defaultRowHeight="15" x14ac:dyDescent="0.25"/>
  <cols>
    <col min="3" max="3" width="14.140625" style="13" bestFit="1" customWidth="1"/>
    <col min="4" max="34" width="9.140625" style="4"/>
  </cols>
  <sheetData>
    <row r="1" spans="1:3" ht="21" thickTop="1" thickBot="1" x14ac:dyDescent="0.45">
      <c r="A1" s="1" t="s">
        <v>3</v>
      </c>
      <c r="B1" s="1" t="s">
        <v>4</v>
      </c>
      <c r="C1" s="9" t="s">
        <v>5</v>
      </c>
    </row>
    <row r="2" spans="1:3" ht="15.75" hidden="1" thickTop="1" x14ac:dyDescent="0.25">
      <c r="A2" s="7">
        <v>31</v>
      </c>
      <c r="B2" s="5">
        <v>3</v>
      </c>
      <c r="C2" s="10" t="str">
        <f>IF(B2=2,A2,"Falso")</f>
        <v>Falso</v>
      </c>
    </row>
    <row r="3" spans="1:3" ht="15.75" hidden="1" thickTop="1" x14ac:dyDescent="0.25">
      <c r="A3" s="8">
        <v>27</v>
      </c>
      <c r="B3" s="6">
        <v>1</v>
      </c>
      <c r="C3" s="11" t="str">
        <f t="shared" ref="C3:C66" si="0">IF(B3=2,A3,"Falso")</f>
        <v>Falso</v>
      </c>
    </row>
    <row r="4" spans="1:3" ht="15.75" thickTop="1" x14ac:dyDescent="0.25">
      <c r="A4" s="8">
        <v>33</v>
      </c>
      <c r="B4" s="6">
        <v>2</v>
      </c>
      <c r="C4" s="11">
        <f t="shared" si="0"/>
        <v>33</v>
      </c>
    </row>
    <row r="5" spans="1:3" hidden="1" x14ac:dyDescent="0.25">
      <c r="A5" s="8">
        <v>32</v>
      </c>
      <c r="B5" s="6">
        <v>1</v>
      </c>
      <c r="C5" s="11" t="str">
        <f t="shared" si="0"/>
        <v>Falso</v>
      </c>
    </row>
    <row r="6" spans="1:3" hidden="1" x14ac:dyDescent="0.25">
      <c r="A6" s="8">
        <v>26</v>
      </c>
      <c r="B6" s="6">
        <v>3</v>
      </c>
      <c r="C6" s="11" t="str">
        <f t="shared" si="0"/>
        <v>Falso</v>
      </c>
    </row>
    <row r="7" spans="1:3" hidden="1" x14ac:dyDescent="0.25">
      <c r="A7" s="8">
        <v>41</v>
      </c>
      <c r="B7" s="6">
        <v>1</v>
      </c>
      <c r="C7" s="11" t="str">
        <f t="shared" si="0"/>
        <v>Falso</v>
      </c>
    </row>
    <row r="8" spans="1:3" hidden="1" x14ac:dyDescent="0.25">
      <c r="A8" s="8">
        <v>30</v>
      </c>
      <c r="B8" s="6">
        <v>3</v>
      </c>
      <c r="C8" s="11" t="str">
        <f t="shared" si="0"/>
        <v>Falso</v>
      </c>
    </row>
    <row r="9" spans="1:3" hidden="1" x14ac:dyDescent="0.25">
      <c r="A9" s="8">
        <v>20</v>
      </c>
      <c r="B9" s="6">
        <v>3</v>
      </c>
      <c r="C9" s="11" t="str">
        <f t="shared" si="0"/>
        <v>Falso</v>
      </c>
    </row>
    <row r="10" spans="1:3" hidden="1" x14ac:dyDescent="0.25">
      <c r="A10" s="8">
        <v>27</v>
      </c>
      <c r="B10" s="6">
        <v>1</v>
      </c>
      <c r="C10" s="11" t="str">
        <f t="shared" si="0"/>
        <v>Falso</v>
      </c>
    </row>
    <row r="11" spans="1:3" hidden="1" x14ac:dyDescent="0.25">
      <c r="A11" s="8">
        <v>36</v>
      </c>
      <c r="B11" s="6">
        <v>4</v>
      </c>
      <c r="C11" s="11" t="str">
        <f t="shared" si="0"/>
        <v>Falso</v>
      </c>
    </row>
    <row r="12" spans="1:3" hidden="1" x14ac:dyDescent="0.25">
      <c r="A12" s="8">
        <v>31</v>
      </c>
      <c r="B12" s="6">
        <v>4</v>
      </c>
      <c r="C12" s="11" t="str">
        <f t="shared" si="0"/>
        <v>Falso</v>
      </c>
    </row>
    <row r="13" spans="1:3" hidden="1" x14ac:dyDescent="0.25">
      <c r="A13" s="8">
        <v>23</v>
      </c>
      <c r="B13" s="6">
        <v>1</v>
      </c>
      <c r="C13" s="11" t="str">
        <f t="shared" si="0"/>
        <v>Falso</v>
      </c>
    </row>
    <row r="14" spans="1:3" hidden="1" x14ac:dyDescent="0.25">
      <c r="A14" s="8">
        <v>36</v>
      </c>
      <c r="B14" s="6">
        <v>1</v>
      </c>
      <c r="C14" s="11" t="str">
        <f t="shared" si="0"/>
        <v>Falso</v>
      </c>
    </row>
    <row r="15" spans="1:3" hidden="1" x14ac:dyDescent="0.25">
      <c r="A15" s="8">
        <v>33</v>
      </c>
      <c r="B15" s="6">
        <v>1</v>
      </c>
      <c r="C15" s="11" t="str">
        <f t="shared" si="0"/>
        <v>Falso</v>
      </c>
    </row>
    <row r="16" spans="1:3" hidden="1" x14ac:dyDescent="0.25">
      <c r="A16" s="8">
        <v>29</v>
      </c>
      <c r="B16" s="6">
        <v>4</v>
      </c>
      <c r="C16" s="11" t="str">
        <f t="shared" si="0"/>
        <v>Falso</v>
      </c>
    </row>
    <row r="17" spans="1:3" x14ac:dyDescent="0.25">
      <c r="A17" s="8">
        <v>30</v>
      </c>
      <c r="B17" s="6">
        <v>2</v>
      </c>
      <c r="C17" s="11">
        <f t="shared" si="0"/>
        <v>30</v>
      </c>
    </row>
    <row r="18" spans="1:3" hidden="1" x14ac:dyDescent="0.25">
      <c r="A18" s="8">
        <v>39</v>
      </c>
      <c r="B18" s="6">
        <v>3</v>
      </c>
      <c r="C18" s="11" t="str">
        <f t="shared" si="0"/>
        <v>Falso</v>
      </c>
    </row>
    <row r="19" spans="1:3" x14ac:dyDescent="0.25">
      <c r="A19" s="8">
        <v>35</v>
      </c>
      <c r="B19" s="6">
        <v>2</v>
      </c>
      <c r="C19" s="11">
        <f t="shared" si="0"/>
        <v>35</v>
      </c>
    </row>
    <row r="20" spans="1:3" hidden="1" x14ac:dyDescent="0.25">
      <c r="A20" s="8">
        <v>37</v>
      </c>
      <c r="B20" s="6">
        <v>1</v>
      </c>
      <c r="C20" s="11" t="str">
        <f t="shared" si="0"/>
        <v>Falso</v>
      </c>
    </row>
    <row r="21" spans="1:3" hidden="1" x14ac:dyDescent="0.25">
      <c r="A21" s="8">
        <v>32</v>
      </c>
      <c r="B21" s="6">
        <v>1</v>
      </c>
      <c r="C21" s="11" t="str">
        <f t="shared" si="0"/>
        <v>Falso</v>
      </c>
    </row>
    <row r="22" spans="1:3" hidden="1" x14ac:dyDescent="0.25">
      <c r="A22" s="8">
        <v>28</v>
      </c>
      <c r="B22" s="6">
        <v>1</v>
      </c>
      <c r="C22" s="11" t="str">
        <f t="shared" si="0"/>
        <v>Falso</v>
      </c>
    </row>
    <row r="23" spans="1:3" hidden="1" x14ac:dyDescent="0.25">
      <c r="A23" s="8">
        <v>35</v>
      </c>
      <c r="B23" s="6">
        <v>3</v>
      </c>
      <c r="C23" s="11" t="str">
        <f t="shared" si="0"/>
        <v>Falso</v>
      </c>
    </row>
    <row r="24" spans="1:3" x14ac:dyDescent="0.25">
      <c r="A24" s="8">
        <v>23</v>
      </c>
      <c r="B24" s="6">
        <v>2</v>
      </c>
      <c r="C24" s="11">
        <f t="shared" si="0"/>
        <v>23</v>
      </c>
    </row>
    <row r="25" spans="1:3" hidden="1" x14ac:dyDescent="0.25">
      <c r="A25" s="8">
        <v>38</v>
      </c>
      <c r="B25" s="6">
        <v>4</v>
      </c>
      <c r="C25" s="11" t="str">
        <f t="shared" si="0"/>
        <v>Falso</v>
      </c>
    </row>
    <row r="26" spans="1:3" x14ac:dyDescent="0.25">
      <c r="A26" s="8">
        <v>49</v>
      </c>
      <c r="B26" s="6">
        <v>2</v>
      </c>
      <c r="C26" s="11">
        <f t="shared" si="0"/>
        <v>49</v>
      </c>
    </row>
    <row r="27" spans="1:3" x14ac:dyDescent="0.25">
      <c r="A27" s="8">
        <v>36</v>
      </c>
      <c r="B27" s="6">
        <v>2</v>
      </c>
      <c r="C27" s="11">
        <f t="shared" si="0"/>
        <v>36</v>
      </c>
    </row>
    <row r="28" spans="1:3" x14ac:dyDescent="0.25">
      <c r="A28" s="8">
        <v>50</v>
      </c>
      <c r="B28" s="6">
        <v>2</v>
      </c>
      <c r="C28" s="11">
        <f t="shared" si="0"/>
        <v>50</v>
      </c>
    </row>
    <row r="29" spans="1:3" x14ac:dyDescent="0.25">
      <c r="A29" s="8">
        <v>30</v>
      </c>
      <c r="B29" s="6">
        <v>2</v>
      </c>
      <c r="C29" s="11">
        <f t="shared" si="0"/>
        <v>30</v>
      </c>
    </row>
    <row r="30" spans="1:3" hidden="1" x14ac:dyDescent="0.25">
      <c r="A30" s="8">
        <v>42</v>
      </c>
      <c r="B30" s="6">
        <v>4</v>
      </c>
      <c r="C30" s="11" t="str">
        <f t="shared" si="0"/>
        <v>Falso</v>
      </c>
    </row>
    <row r="31" spans="1:3" hidden="1" x14ac:dyDescent="0.25">
      <c r="A31" s="8">
        <v>37</v>
      </c>
      <c r="B31" s="6">
        <v>3</v>
      </c>
      <c r="C31" s="11" t="str">
        <f t="shared" si="0"/>
        <v>Falso</v>
      </c>
    </row>
    <row r="32" spans="1:3" hidden="1" x14ac:dyDescent="0.25">
      <c r="A32" s="8">
        <v>36</v>
      </c>
      <c r="B32" s="6">
        <v>1</v>
      </c>
      <c r="C32" s="11" t="str">
        <f t="shared" si="0"/>
        <v>Falso</v>
      </c>
    </row>
    <row r="33" spans="1:3" hidden="1" x14ac:dyDescent="0.25">
      <c r="A33" s="8">
        <v>42</v>
      </c>
      <c r="B33" s="6">
        <v>1</v>
      </c>
      <c r="C33" s="11" t="str">
        <f t="shared" si="0"/>
        <v>Falso</v>
      </c>
    </row>
    <row r="34" spans="1:3" hidden="1" x14ac:dyDescent="0.25">
      <c r="A34" s="8">
        <v>44</v>
      </c>
      <c r="B34" s="6">
        <v>3</v>
      </c>
      <c r="C34" s="11" t="str">
        <f t="shared" si="0"/>
        <v>Falso</v>
      </c>
    </row>
    <row r="35" spans="1:3" hidden="1" x14ac:dyDescent="0.25">
      <c r="A35" s="8">
        <v>33</v>
      </c>
      <c r="B35" s="6">
        <v>1</v>
      </c>
      <c r="C35" s="11" t="str">
        <f t="shared" si="0"/>
        <v>Falso</v>
      </c>
    </row>
    <row r="36" spans="1:3" x14ac:dyDescent="0.25">
      <c r="A36" s="8">
        <v>37</v>
      </c>
      <c r="B36" s="6">
        <v>2</v>
      </c>
      <c r="C36" s="11">
        <f t="shared" si="0"/>
        <v>37</v>
      </c>
    </row>
    <row r="37" spans="1:3" hidden="1" x14ac:dyDescent="0.25">
      <c r="A37" s="8">
        <v>40</v>
      </c>
      <c r="B37" s="6">
        <v>1</v>
      </c>
      <c r="C37" s="11" t="str">
        <f t="shared" si="0"/>
        <v>Falso</v>
      </c>
    </row>
    <row r="38" spans="1:3" hidden="1" x14ac:dyDescent="0.25">
      <c r="A38" s="8">
        <v>40</v>
      </c>
      <c r="B38" s="6">
        <v>4</v>
      </c>
      <c r="C38" s="11" t="str">
        <f t="shared" si="0"/>
        <v>Falso</v>
      </c>
    </row>
    <row r="39" spans="1:3" hidden="1" x14ac:dyDescent="0.25">
      <c r="A39" s="8">
        <v>44</v>
      </c>
      <c r="B39" s="6">
        <v>4</v>
      </c>
      <c r="C39" s="11" t="str">
        <f t="shared" si="0"/>
        <v>Falso</v>
      </c>
    </row>
    <row r="40" spans="1:3" hidden="1" x14ac:dyDescent="0.25">
      <c r="A40" s="8">
        <v>23</v>
      </c>
      <c r="B40" s="6">
        <v>1</v>
      </c>
      <c r="C40" s="11" t="str">
        <f t="shared" si="0"/>
        <v>Falso</v>
      </c>
    </row>
    <row r="41" spans="1:3" hidden="1" x14ac:dyDescent="0.25">
      <c r="A41" s="8">
        <v>30</v>
      </c>
      <c r="B41" s="6">
        <v>4</v>
      </c>
      <c r="C41" s="11" t="str">
        <f t="shared" si="0"/>
        <v>Falso</v>
      </c>
    </row>
    <row r="42" spans="1:3" hidden="1" x14ac:dyDescent="0.25">
      <c r="A42" s="8">
        <v>27</v>
      </c>
      <c r="B42" s="6">
        <v>3</v>
      </c>
      <c r="C42" s="11" t="str">
        <f t="shared" si="0"/>
        <v>Falso</v>
      </c>
    </row>
    <row r="43" spans="1:3" hidden="1" x14ac:dyDescent="0.25">
      <c r="A43" s="8">
        <v>30</v>
      </c>
      <c r="B43" s="6">
        <v>1</v>
      </c>
      <c r="C43" s="11" t="str">
        <f t="shared" si="0"/>
        <v>Falso</v>
      </c>
    </row>
    <row r="44" spans="1:3" hidden="1" x14ac:dyDescent="0.25">
      <c r="A44" s="8">
        <v>39</v>
      </c>
      <c r="B44" s="6">
        <v>3</v>
      </c>
      <c r="C44" s="11" t="str">
        <f t="shared" si="0"/>
        <v>Falso</v>
      </c>
    </row>
    <row r="45" spans="1:3" hidden="1" x14ac:dyDescent="0.25">
      <c r="A45" s="8">
        <v>41</v>
      </c>
      <c r="B45" s="6">
        <v>3</v>
      </c>
      <c r="C45" s="11" t="str">
        <f t="shared" si="0"/>
        <v>Falso</v>
      </c>
    </row>
    <row r="46" spans="1:3" x14ac:dyDescent="0.25">
      <c r="A46" s="8">
        <v>39</v>
      </c>
      <c r="B46" s="6">
        <v>2</v>
      </c>
      <c r="C46" s="11">
        <f t="shared" si="0"/>
        <v>39</v>
      </c>
    </row>
    <row r="47" spans="1:3" hidden="1" x14ac:dyDescent="0.25">
      <c r="A47" s="8">
        <v>44</v>
      </c>
      <c r="B47" s="6">
        <v>3</v>
      </c>
      <c r="C47" s="11" t="str">
        <f t="shared" si="0"/>
        <v>Falso</v>
      </c>
    </row>
    <row r="48" spans="1:3" hidden="1" x14ac:dyDescent="0.25">
      <c r="A48" s="8">
        <v>37</v>
      </c>
      <c r="B48" s="6">
        <v>1</v>
      </c>
      <c r="C48" s="11" t="str">
        <f t="shared" si="0"/>
        <v>Falso</v>
      </c>
    </row>
    <row r="49" spans="1:3" hidden="1" x14ac:dyDescent="0.25">
      <c r="A49" s="8">
        <v>33</v>
      </c>
      <c r="B49" s="6">
        <v>1</v>
      </c>
      <c r="C49" s="11" t="str">
        <f t="shared" si="0"/>
        <v>Falso</v>
      </c>
    </row>
    <row r="50" spans="1:3" x14ac:dyDescent="0.25">
      <c r="A50" s="8">
        <v>39</v>
      </c>
      <c r="B50" s="6">
        <v>2</v>
      </c>
      <c r="C50" s="11">
        <f t="shared" si="0"/>
        <v>39</v>
      </c>
    </row>
    <row r="51" spans="1:3" hidden="1" x14ac:dyDescent="0.25">
      <c r="A51" s="8">
        <v>42</v>
      </c>
      <c r="B51" s="6">
        <v>3</v>
      </c>
      <c r="C51" s="11" t="str">
        <f t="shared" si="0"/>
        <v>Falso</v>
      </c>
    </row>
    <row r="52" spans="1:3" hidden="1" x14ac:dyDescent="0.25">
      <c r="A52" s="8">
        <v>34</v>
      </c>
      <c r="B52" s="6">
        <v>3</v>
      </c>
      <c r="C52" s="11" t="str">
        <f t="shared" si="0"/>
        <v>Falso</v>
      </c>
    </row>
    <row r="53" spans="1:3" hidden="1" x14ac:dyDescent="0.25">
      <c r="A53" s="8">
        <v>32</v>
      </c>
      <c r="B53" s="6">
        <v>1</v>
      </c>
      <c r="C53" s="11" t="str">
        <f t="shared" si="0"/>
        <v>Falso</v>
      </c>
    </row>
    <row r="54" spans="1:3" hidden="1" x14ac:dyDescent="0.25">
      <c r="A54" s="8">
        <v>49</v>
      </c>
      <c r="B54" s="6">
        <v>1</v>
      </c>
      <c r="C54" s="11" t="str">
        <f t="shared" si="0"/>
        <v>Falso</v>
      </c>
    </row>
    <row r="55" spans="1:3" x14ac:dyDescent="0.25">
      <c r="A55" s="8">
        <v>53</v>
      </c>
      <c r="B55" s="6">
        <v>2</v>
      </c>
      <c r="C55" s="11">
        <f t="shared" si="0"/>
        <v>53</v>
      </c>
    </row>
    <row r="56" spans="1:3" hidden="1" x14ac:dyDescent="0.25">
      <c r="A56" s="8">
        <v>48</v>
      </c>
      <c r="B56" s="6">
        <v>1</v>
      </c>
      <c r="C56" s="11" t="str">
        <f t="shared" si="0"/>
        <v>Falso</v>
      </c>
    </row>
    <row r="57" spans="1:3" hidden="1" x14ac:dyDescent="0.25">
      <c r="A57" s="8">
        <v>36</v>
      </c>
      <c r="B57" s="6">
        <v>3</v>
      </c>
      <c r="C57" s="11" t="str">
        <f t="shared" si="0"/>
        <v>Falso</v>
      </c>
    </row>
    <row r="58" spans="1:3" x14ac:dyDescent="0.25">
      <c r="A58" s="8">
        <v>26</v>
      </c>
      <c r="B58" s="6">
        <v>2</v>
      </c>
      <c r="C58" s="11">
        <f t="shared" si="0"/>
        <v>26</v>
      </c>
    </row>
    <row r="59" spans="1:3" x14ac:dyDescent="0.25">
      <c r="A59" s="8">
        <v>34</v>
      </c>
      <c r="B59" s="6">
        <v>2</v>
      </c>
      <c r="C59" s="11">
        <f t="shared" si="0"/>
        <v>34</v>
      </c>
    </row>
    <row r="60" spans="1:3" hidden="1" x14ac:dyDescent="0.25">
      <c r="A60" s="8">
        <v>24</v>
      </c>
      <c r="B60" s="6">
        <v>3</v>
      </c>
      <c r="C60" s="11" t="str">
        <f t="shared" si="0"/>
        <v>Falso</v>
      </c>
    </row>
    <row r="61" spans="1:3" hidden="1" x14ac:dyDescent="0.25">
      <c r="A61" s="8">
        <v>30</v>
      </c>
      <c r="B61" s="6">
        <v>4</v>
      </c>
      <c r="C61" s="11" t="str">
        <f t="shared" si="0"/>
        <v>Falso</v>
      </c>
    </row>
    <row r="62" spans="1:3" hidden="1" x14ac:dyDescent="0.25">
      <c r="A62" s="8">
        <v>33</v>
      </c>
      <c r="B62" s="6">
        <v>4</v>
      </c>
      <c r="C62" s="11" t="str">
        <f t="shared" si="0"/>
        <v>Falso</v>
      </c>
    </row>
    <row r="63" spans="1:3" x14ac:dyDescent="0.25">
      <c r="A63" s="8">
        <v>42</v>
      </c>
      <c r="B63" s="6">
        <v>2</v>
      </c>
      <c r="C63" s="11">
        <f t="shared" si="0"/>
        <v>42</v>
      </c>
    </row>
    <row r="64" spans="1:3" hidden="1" x14ac:dyDescent="0.25">
      <c r="A64" s="8">
        <v>32</v>
      </c>
      <c r="B64" s="6">
        <v>1</v>
      </c>
      <c r="C64" s="11" t="str">
        <f t="shared" si="0"/>
        <v>Falso</v>
      </c>
    </row>
    <row r="65" spans="1:3" hidden="1" x14ac:dyDescent="0.25">
      <c r="A65" s="8">
        <v>33</v>
      </c>
      <c r="B65" s="6">
        <v>1</v>
      </c>
      <c r="C65" s="11" t="str">
        <f t="shared" si="0"/>
        <v>Falso</v>
      </c>
    </row>
    <row r="66" spans="1:3" hidden="1" x14ac:dyDescent="0.25">
      <c r="A66" s="8">
        <v>29</v>
      </c>
      <c r="B66" s="6">
        <v>4</v>
      </c>
      <c r="C66" s="11" t="str">
        <f t="shared" si="0"/>
        <v>Falso</v>
      </c>
    </row>
    <row r="67" spans="1:3" hidden="1" x14ac:dyDescent="0.25">
      <c r="A67" s="8">
        <v>35</v>
      </c>
      <c r="B67" s="6">
        <v>1</v>
      </c>
      <c r="C67" s="11" t="str">
        <f t="shared" ref="C67:C130" si="1">IF(B67=2,A67,"Falso")</f>
        <v>Falso</v>
      </c>
    </row>
    <row r="68" spans="1:3" x14ac:dyDescent="0.25">
      <c r="A68" s="8">
        <v>37</v>
      </c>
      <c r="B68" s="6">
        <v>2</v>
      </c>
      <c r="C68" s="11">
        <f t="shared" si="1"/>
        <v>37</v>
      </c>
    </row>
    <row r="69" spans="1:3" hidden="1" x14ac:dyDescent="0.25">
      <c r="A69" s="8">
        <v>19</v>
      </c>
      <c r="B69" s="6">
        <v>3</v>
      </c>
      <c r="C69" s="11" t="str">
        <f t="shared" si="1"/>
        <v>Falso</v>
      </c>
    </row>
    <row r="70" spans="1:3" hidden="1" x14ac:dyDescent="0.25">
      <c r="A70" s="8">
        <v>42</v>
      </c>
      <c r="B70" s="6">
        <v>4</v>
      </c>
      <c r="C70" s="11" t="str">
        <f t="shared" si="1"/>
        <v>Falso</v>
      </c>
    </row>
    <row r="71" spans="1:3" hidden="1" x14ac:dyDescent="0.25">
      <c r="A71" s="8">
        <v>42</v>
      </c>
      <c r="B71" s="6">
        <v>3</v>
      </c>
      <c r="C71" s="11" t="str">
        <f t="shared" si="1"/>
        <v>Falso</v>
      </c>
    </row>
    <row r="72" spans="1:3" hidden="1" x14ac:dyDescent="0.25">
      <c r="A72" s="8">
        <v>27</v>
      </c>
      <c r="B72" s="6">
        <v>3</v>
      </c>
      <c r="C72" s="11" t="str">
        <f t="shared" si="1"/>
        <v>Falso</v>
      </c>
    </row>
    <row r="73" spans="1:3" hidden="1" x14ac:dyDescent="0.25">
      <c r="A73" s="8">
        <v>32</v>
      </c>
      <c r="B73" s="6">
        <v>1</v>
      </c>
      <c r="C73" s="11" t="str">
        <f t="shared" si="1"/>
        <v>Falso</v>
      </c>
    </row>
    <row r="74" spans="1:3" hidden="1" x14ac:dyDescent="0.25">
      <c r="A74" s="8">
        <v>24</v>
      </c>
      <c r="B74" s="6">
        <v>4</v>
      </c>
      <c r="C74" s="11" t="str">
        <f t="shared" si="1"/>
        <v>Falso</v>
      </c>
    </row>
    <row r="75" spans="1:3" hidden="1" x14ac:dyDescent="0.25">
      <c r="A75" s="8">
        <v>34</v>
      </c>
      <c r="B75" s="6">
        <v>1</v>
      </c>
      <c r="C75" s="11" t="str">
        <f t="shared" si="1"/>
        <v>Falso</v>
      </c>
    </row>
    <row r="76" spans="1:3" x14ac:dyDescent="0.25">
      <c r="A76" s="8">
        <v>35</v>
      </c>
      <c r="B76" s="6">
        <v>2</v>
      </c>
      <c r="C76" s="11">
        <f t="shared" si="1"/>
        <v>35</v>
      </c>
    </row>
    <row r="77" spans="1:3" hidden="1" x14ac:dyDescent="0.25">
      <c r="A77" s="8">
        <v>24</v>
      </c>
      <c r="B77" s="6">
        <v>1</v>
      </c>
      <c r="C77" s="11" t="str">
        <f t="shared" si="1"/>
        <v>Falso</v>
      </c>
    </row>
    <row r="78" spans="1:3" hidden="1" x14ac:dyDescent="0.25">
      <c r="A78" s="8">
        <v>33</v>
      </c>
      <c r="B78" s="6">
        <v>3</v>
      </c>
      <c r="C78" s="11" t="str">
        <f t="shared" si="1"/>
        <v>Falso</v>
      </c>
    </row>
    <row r="79" spans="1:3" hidden="1" x14ac:dyDescent="0.25">
      <c r="A79" s="8">
        <v>39</v>
      </c>
      <c r="B79" s="6">
        <v>1</v>
      </c>
      <c r="C79" s="11" t="str">
        <f t="shared" si="1"/>
        <v>Falso</v>
      </c>
    </row>
    <row r="80" spans="1:3" hidden="1" x14ac:dyDescent="0.25">
      <c r="A80" s="8">
        <v>38</v>
      </c>
      <c r="B80" s="6">
        <v>4</v>
      </c>
      <c r="C80" s="11" t="str">
        <f t="shared" si="1"/>
        <v>Falso</v>
      </c>
    </row>
    <row r="81" spans="1:3" hidden="1" x14ac:dyDescent="0.25">
      <c r="A81" s="8">
        <v>39</v>
      </c>
      <c r="B81" s="6">
        <v>1</v>
      </c>
      <c r="C81" s="11" t="str">
        <f t="shared" si="1"/>
        <v>Falso</v>
      </c>
    </row>
    <row r="82" spans="1:3" hidden="1" x14ac:dyDescent="0.25">
      <c r="A82" s="8">
        <v>40</v>
      </c>
      <c r="B82" s="6">
        <v>1</v>
      </c>
      <c r="C82" s="11" t="str">
        <f t="shared" si="1"/>
        <v>Falso</v>
      </c>
    </row>
    <row r="83" spans="1:3" hidden="1" x14ac:dyDescent="0.25">
      <c r="A83" s="8">
        <v>40</v>
      </c>
      <c r="B83" s="6">
        <v>4</v>
      </c>
      <c r="C83" s="11" t="str">
        <f t="shared" si="1"/>
        <v>Falso</v>
      </c>
    </row>
    <row r="84" spans="1:3" x14ac:dyDescent="0.25">
      <c r="A84" s="8">
        <v>40</v>
      </c>
      <c r="B84" s="6">
        <v>2</v>
      </c>
      <c r="C84" s="11">
        <f t="shared" si="1"/>
        <v>40</v>
      </c>
    </row>
    <row r="85" spans="1:3" x14ac:dyDescent="0.25">
      <c r="A85" s="8">
        <v>33</v>
      </c>
      <c r="B85" s="6">
        <v>2</v>
      </c>
      <c r="C85" s="11">
        <f t="shared" si="1"/>
        <v>33</v>
      </c>
    </row>
    <row r="86" spans="1:3" hidden="1" x14ac:dyDescent="0.25">
      <c r="A86" s="8">
        <v>34</v>
      </c>
      <c r="B86" s="6">
        <v>4</v>
      </c>
      <c r="C86" s="11" t="str">
        <f t="shared" si="1"/>
        <v>Falso</v>
      </c>
    </row>
    <row r="87" spans="1:3" hidden="1" x14ac:dyDescent="0.25">
      <c r="A87" s="8">
        <v>33</v>
      </c>
      <c r="B87" s="6">
        <v>4</v>
      </c>
      <c r="C87" s="11" t="str">
        <f t="shared" si="1"/>
        <v>Falso</v>
      </c>
    </row>
    <row r="88" spans="1:3" hidden="1" x14ac:dyDescent="0.25">
      <c r="A88" s="8">
        <v>29</v>
      </c>
      <c r="B88" s="6">
        <v>4</v>
      </c>
      <c r="C88" s="11" t="str">
        <f t="shared" si="1"/>
        <v>Falso</v>
      </c>
    </row>
    <row r="89" spans="1:3" x14ac:dyDescent="0.25">
      <c r="A89" s="8">
        <v>37</v>
      </c>
      <c r="B89" s="6">
        <v>2</v>
      </c>
      <c r="C89" s="11">
        <f t="shared" si="1"/>
        <v>37</v>
      </c>
    </row>
    <row r="90" spans="1:3" hidden="1" x14ac:dyDescent="0.25">
      <c r="A90" s="8">
        <v>26</v>
      </c>
      <c r="B90" s="6">
        <v>1</v>
      </c>
      <c r="C90" s="11" t="str">
        <f t="shared" si="1"/>
        <v>Falso</v>
      </c>
    </row>
    <row r="91" spans="1:3" x14ac:dyDescent="0.25">
      <c r="A91" s="8">
        <v>21</v>
      </c>
      <c r="B91" s="6">
        <v>2</v>
      </c>
      <c r="C91" s="11">
        <f t="shared" si="1"/>
        <v>21</v>
      </c>
    </row>
    <row r="92" spans="1:3" hidden="1" x14ac:dyDescent="0.25">
      <c r="A92" s="8">
        <v>47</v>
      </c>
      <c r="B92" s="6">
        <v>3</v>
      </c>
      <c r="C92" s="11" t="str">
        <f t="shared" si="1"/>
        <v>Falso</v>
      </c>
    </row>
    <row r="93" spans="1:3" hidden="1" x14ac:dyDescent="0.25">
      <c r="A93" s="8">
        <v>40</v>
      </c>
      <c r="B93" s="6">
        <v>3</v>
      </c>
      <c r="C93" s="11" t="str">
        <f t="shared" si="1"/>
        <v>Falso</v>
      </c>
    </row>
    <row r="94" spans="1:3" hidden="1" x14ac:dyDescent="0.25">
      <c r="A94" s="8">
        <v>35</v>
      </c>
      <c r="B94" s="6">
        <v>3</v>
      </c>
      <c r="C94" s="11" t="str">
        <f t="shared" si="1"/>
        <v>Falso</v>
      </c>
    </row>
    <row r="95" spans="1:3" hidden="1" x14ac:dyDescent="0.25">
      <c r="A95" s="8">
        <v>32</v>
      </c>
      <c r="B95" s="6">
        <v>1</v>
      </c>
      <c r="C95" s="11" t="str">
        <f t="shared" si="1"/>
        <v>Falso</v>
      </c>
    </row>
    <row r="96" spans="1:3" hidden="1" x14ac:dyDescent="0.25">
      <c r="A96" s="8">
        <v>30</v>
      </c>
      <c r="B96" s="6">
        <v>3</v>
      </c>
      <c r="C96" s="11" t="str">
        <f t="shared" si="1"/>
        <v>Falso</v>
      </c>
    </row>
    <row r="97" spans="1:3" x14ac:dyDescent="0.25">
      <c r="A97" s="8">
        <v>40</v>
      </c>
      <c r="B97" s="6">
        <v>2</v>
      </c>
      <c r="C97" s="11">
        <f t="shared" si="1"/>
        <v>40</v>
      </c>
    </row>
    <row r="98" spans="1:3" hidden="1" x14ac:dyDescent="0.25">
      <c r="A98" s="8">
        <v>29</v>
      </c>
      <c r="B98" s="6">
        <v>1</v>
      </c>
      <c r="C98" s="11" t="str">
        <f t="shared" si="1"/>
        <v>Falso</v>
      </c>
    </row>
    <row r="99" spans="1:3" hidden="1" x14ac:dyDescent="0.25">
      <c r="A99" s="8">
        <v>32</v>
      </c>
      <c r="B99" s="6">
        <v>3</v>
      </c>
      <c r="C99" s="11" t="str">
        <f t="shared" si="1"/>
        <v>Falso</v>
      </c>
    </row>
    <row r="100" spans="1:3" hidden="1" x14ac:dyDescent="0.25">
      <c r="A100" s="8">
        <v>30</v>
      </c>
      <c r="B100" s="6">
        <v>4</v>
      </c>
      <c r="C100" s="11" t="str">
        <f t="shared" si="1"/>
        <v>Falso</v>
      </c>
    </row>
    <row r="101" spans="1:3" hidden="1" x14ac:dyDescent="0.25">
      <c r="A101" s="8">
        <v>32</v>
      </c>
      <c r="B101" s="6">
        <v>4</v>
      </c>
      <c r="C101" s="11" t="str">
        <f t="shared" si="1"/>
        <v>Falso</v>
      </c>
    </row>
    <row r="102" spans="1:3" hidden="1" x14ac:dyDescent="0.25">
      <c r="A102" s="8">
        <v>28</v>
      </c>
      <c r="B102" s="6">
        <v>4</v>
      </c>
      <c r="C102" s="11" t="str">
        <f t="shared" si="1"/>
        <v>Falso</v>
      </c>
    </row>
    <row r="103" spans="1:3" hidden="1" x14ac:dyDescent="0.25">
      <c r="A103" s="8">
        <v>35</v>
      </c>
      <c r="B103" s="6">
        <v>1</v>
      </c>
      <c r="C103" s="11" t="str">
        <f t="shared" si="1"/>
        <v>Falso</v>
      </c>
    </row>
    <row r="104" spans="1:3" x14ac:dyDescent="0.25">
      <c r="A104" s="8">
        <v>34</v>
      </c>
      <c r="B104" s="6">
        <v>2</v>
      </c>
      <c r="C104" s="11">
        <f t="shared" si="1"/>
        <v>34</v>
      </c>
    </row>
    <row r="105" spans="1:3" hidden="1" x14ac:dyDescent="0.25">
      <c r="A105" s="8">
        <v>32</v>
      </c>
      <c r="B105" s="6">
        <v>4</v>
      </c>
      <c r="C105" s="11" t="str">
        <f t="shared" si="1"/>
        <v>Falso</v>
      </c>
    </row>
    <row r="106" spans="1:3" x14ac:dyDescent="0.25">
      <c r="A106" s="8">
        <v>39</v>
      </c>
      <c r="B106" s="6">
        <v>2</v>
      </c>
      <c r="C106" s="11">
        <f t="shared" si="1"/>
        <v>39</v>
      </c>
    </row>
    <row r="107" spans="1:3" hidden="1" x14ac:dyDescent="0.25">
      <c r="A107" s="8">
        <v>33</v>
      </c>
      <c r="B107" s="6">
        <v>4</v>
      </c>
      <c r="C107" s="11" t="str">
        <f t="shared" si="1"/>
        <v>Falso</v>
      </c>
    </row>
    <row r="108" spans="1:3" hidden="1" x14ac:dyDescent="0.25">
      <c r="A108" s="8">
        <v>33</v>
      </c>
      <c r="B108" s="6">
        <v>3</v>
      </c>
      <c r="C108" s="11" t="str">
        <f t="shared" si="1"/>
        <v>Falso</v>
      </c>
    </row>
    <row r="109" spans="1:3" hidden="1" x14ac:dyDescent="0.25">
      <c r="A109" s="8">
        <v>32</v>
      </c>
      <c r="B109" s="6">
        <v>4</v>
      </c>
      <c r="C109" s="11" t="str">
        <f t="shared" si="1"/>
        <v>Falso</v>
      </c>
    </row>
    <row r="110" spans="1:3" hidden="1" x14ac:dyDescent="0.25">
      <c r="A110" s="8">
        <v>40</v>
      </c>
      <c r="B110" s="6">
        <v>4</v>
      </c>
      <c r="C110" s="11" t="str">
        <f t="shared" si="1"/>
        <v>Falso</v>
      </c>
    </row>
    <row r="111" spans="1:3" hidden="1" x14ac:dyDescent="0.25">
      <c r="A111" s="8">
        <v>38</v>
      </c>
      <c r="B111" s="6">
        <v>3</v>
      </c>
      <c r="C111" s="11" t="str">
        <f t="shared" si="1"/>
        <v>Falso</v>
      </c>
    </row>
    <row r="112" spans="1:3" hidden="1" x14ac:dyDescent="0.25">
      <c r="A112" s="8">
        <v>31</v>
      </c>
      <c r="B112" s="6">
        <v>1</v>
      </c>
      <c r="C112" s="11" t="str">
        <f t="shared" si="1"/>
        <v>Falso</v>
      </c>
    </row>
    <row r="113" spans="1:3" hidden="1" x14ac:dyDescent="0.25">
      <c r="A113" s="8">
        <v>34</v>
      </c>
      <c r="B113" s="6">
        <v>4</v>
      </c>
      <c r="C113" s="11" t="str">
        <f t="shared" si="1"/>
        <v>Falso</v>
      </c>
    </row>
    <row r="114" spans="1:3" hidden="1" x14ac:dyDescent="0.25">
      <c r="A114" s="8">
        <v>33</v>
      </c>
      <c r="B114" s="6">
        <v>3</v>
      </c>
      <c r="C114" s="11" t="str">
        <f t="shared" si="1"/>
        <v>Falso</v>
      </c>
    </row>
    <row r="115" spans="1:3" hidden="1" x14ac:dyDescent="0.25">
      <c r="A115" s="8">
        <v>42</v>
      </c>
      <c r="B115" s="6">
        <v>1</v>
      </c>
      <c r="C115" s="11" t="str">
        <f t="shared" si="1"/>
        <v>Falso</v>
      </c>
    </row>
    <row r="116" spans="1:3" hidden="1" x14ac:dyDescent="0.25">
      <c r="A116" s="8">
        <v>30</v>
      </c>
      <c r="B116" s="6">
        <v>4</v>
      </c>
      <c r="C116" s="11" t="str">
        <f t="shared" si="1"/>
        <v>Falso</v>
      </c>
    </row>
    <row r="117" spans="1:3" hidden="1" x14ac:dyDescent="0.25">
      <c r="A117" s="8">
        <v>30</v>
      </c>
      <c r="B117" s="6">
        <v>4</v>
      </c>
      <c r="C117" s="11" t="str">
        <f t="shared" si="1"/>
        <v>Falso</v>
      </c>
    </row>
    <row r="118" spans="1:3" hidden="1" x14ac:dyDescent="0.25">
      <c r="A118" s="8">
        <v>34</v>
      </c>
      <c r="B118" s="6">
        <v>4</v>
      </c>
      <c r="C118" s="11" t="str">
        <f t="shared" si="1"/>
        <v>Falso</v>
      </c>
    </row>
    <row r="119" spans="1:3" hidden="1" x14ac:dyDescent="0.25">
      <c r="A119" s="8">
        <v>28</v>
      </c>
      <c r="B119" s="6">
        <v>1</v>
      </c>
      <c r="C119" s="11" t="str">
        <f t="shared" si="1"/>
        <v>Falso</v>
      </c>
    </row>
    <row r="120" spans="1:3" hidden="1" x14ac:dyDescent="0.25">
      <c r="A120" s="8">
        <v>31</v>
      </c>
      <c r="B120" s="6">
        <v>3</v>
      </c>
      <c r="C120" s="11" t="str">
        <f t="shared" si="1"/>
        <v>Falso</v>
      </c>
    </row>
    <row r="121" spans="1:3" hidden="1" x14ac:dyDescent="0.25">
      <c r="A121" s="8">
        <v>29</v>
      </c>
      <c r="B121" s="6">
        <v>4</v>
      </c>
      <c r="C121" s="11" t="str">
        <f t="shared" si="1"/>
        <v>Falso</v>
      </c>
    </row>
    <row r="122" spans="1:3" hidden="1" x14ac:dyDescent="0.25">
      <c r="A122" s="8">
        <v>27</v>
      </c>
      <c r="B122" s="6">
        <v>3</v>
      </c>
      <c r="C122" s="11" t="str">
        <f t="shared" si="1"/>
        <v>Falso</v>
      </c>
    </row>
    <row r="123" spans="1:3" hidden="1" x14ac:dyDescent="0.25">
      <c r="A123" s="8">
        <v>35</v>
      </c>
      <c r="B123" s="6">
        <v>1</v>
      </c>
      <c r="C123" s="11" t="str">
        <f t="shared" si="1"/>
        <v>Falso</v>
      </c>
    </row>
    <row r="124" spans="1:3" x14ac:dyDescent="0.25">
      <c r="A124" s="8">
        <v>36</v>
      </c>
      <c r="B124" s="6">
        <v>2</v>
      </c>
      <c r="C124" s="11">
        <f t="shared" si="1"/>
        <v>36</v>
      </c>
    </row>
    <row r="125" spans="1:3" hidden="1" x14ac:dyDescent="0.25">
      <c r="A125" s="8">
        <v>19</v>
      </c>
      <c r="B125" s="6">
        <v>1</v>
      </c>
      <c r="C125" s="11" t="str">
        <f t="shared" si="1"/>
        <v>Falso</v>
      </c>
    </row>
    <row r="126" spans="1:3" hidden="1" x14ac:dyDescent="0.25">
      <c r="A126" s="8">
        <v>41</v>
      </c>
      <c r="B126" s="6">
        <v>4</v>
      </c>
      <c r="C126" s="11" t="str">
        <f t="shared" si="1"/>
        <v>Falso</v>
      </c>
    </row>
    <row r="127" spans="1:3" x14ac:dyDescent="0.25">
      <c r="A127" s="8">
        <v>33</v>
      </c>
      <c r="B127" s="6">
        <v>2</v>
      </c>
      <c r="C127" s="11">
        <f t="shared" si="1"/>
        <v>33</v>
      </c>
    </row>
    <row r="128" spans="1:3" hidden="1" x14ac:dyDescent="0.25">
      <c r="A128" s="8">
        <v>36</v>
      </c>
      <c r="B128" s="6">
        <v>4</v>
      </c>
      <c r="C128" s="11" t="str">
        <f t="shared" si="1"/>
        <v>Falso</v>
      </c>
    </row>
    <row r="129" spans="1:3" hidden="1" x14ac:dyDescent="0.25">
      <c r="A129" s="8">
        <v>27</v>
      </c>
      <c r="B129" s="6">
        <v>3</v>
      </c>
      <c r="C129" s="11" t="str">
        <f t="shared" si="1"/>
        <v>Falso</v>
      </c>
    </row>
    <row r="130" spans="1:3" hidden="1" x14ac:dyDescent="0.25">
      <c r="A130" s="8">
        <v>34</v>
      </c>
      <c r="B130" s="6">
        <v>3</v>
      </c>
      <c r="C130" s="11" t="str">
        <f t="shared" si="1"/>
        <v>Falso</v>
      </c>
    </row>
    <row r="131" spans="1:3" hidden="1" x14ac:dyDescent="0.25">
      <c r="A131" s="8">
        <v>31</v>
      </c>
      <c r="B131" s="6">
        <v>3</v>
      </c>
      <c r="C131" s="11" t="str">
        <f t="shared" ref="C131:C194" si="2">IF(B131=2,A131,"Falso")</f>
        <v>Falso</v>
      </c>
    </row>
    <row r="132" spans="1:3" x14ac:dyDescent="0.25">
      <c r="A132" s="8">
        <v>29</v>
      </c>
      <c r="B132" s="6">
        <v>2</v>
      </c>
      <c r="C132" s="11">
        <f t="shared" si="2"/>
        <v>29</v>
      </c>
    </row>
    <row r="133" spans="1:3" hidden="1" x14ac:dyDescent="0.25">
      <c r="A133" s="8">
        <v>39</v>
      </c>
      <c r="B133" s="6">
        <v>3</v>
      </c>
      <c r="C133" s="11" t="str">
        <f t="shared" si="2"/>
        <v>Falso</v>
      </c>
    </row>
    <row r="134" spans="1:3" hidden="1" x14ac:dyDescent="0.25">
      <c r="A134" s="8">
        <v>24</v>
      </c>
      <c r="B134" s="6">
        <v>3</v>
      </c>
      <c r="C134" s="11" t="str">
        <f t="shared" si="2"/>
        <v>Falso</v>
      </c>
    </row>
    <row r="135" spans="1:3" x14ac:dyDescent="0.25">
      <c r="A135" s="8">
        <v>41</v>
      </c>
      <c r="B135" s="6">
        <v>2</v>
      </c>
      <c r="C135" s="11">
        <f t="shared" si="2"/>
        <v>41</v>
      </c>
    </row>
    <row r="136" spans="1:3" hidden="1" x14ac:dyDescent="0.25">
      <c r="A136" s="8">
        <v>26</v>
      </c>
      <c r="B136" s="6">
        <v>3</v>
      </c>
      <c r="C136" s="11" t="str">
        <f t="shared" si="2"/>
        <v>Falso</v>
      </c>
    </row>
    <row r="137" spans="1:3" hidden="1" x14ac:dyDescent="0.25">
      <c r="A137" s="8">
        <v>36</v>
      </c>
      <c r="B137" s="6">
        <v>1</v>
      </c>
      <c r="C137" s="11" t="str">
        <f t="shared" si="2"/>
        <v>Falso</v>
      </c>
    </row>
    <row r="138" spans="1:3" hidden="1" x14ac:dyDescent="0.25">
      <c r="A138" s="8">
        <v>35</v>
      </c>
      <c r="B138" s="6">
        <v>4</v>
      </c>
      <c r="C138" s="11" t="str">
        <f t="shared" si="2"/>
        <v>Falso</v>
      </c>
    </row>
    <row r="139" spans="1:3" hidden="1" x14ac:dyDescent="0.25">
      <c r="A139" s="8">
        <v>27</v>
      </c>
      <c r="B139" s="6">
        <v>4</v>
      </c>
      <c r="C139" s="11" t="str">
        <f t="shared" si="2"/>
        <v>Falso</v>
      </c>
    </row>
    <row r="140" spans="1:3" hidden="1" x14ac:dyDescent="0.25">
      <c r="A140" s="8">
        <v>33</v>
      </c>
      <c r="B140" s="6">
        <v>1</v>
      </c>
      <c r="C140" s="11" t="str">
        <f t="shared" si="2"/>
        <v>Falso</v>
      </c>
    </row>
    <row r="141" spans="1:3" hidden="1" x14ac:dyDescent="0.25">
      <c r="A141" s="8">
        <v>34</v>
      </c>
      <c r="B141" s="6">
        <v>3</v>
      </c>
      <c r="C141" s="11" t="str">
        <f t="shared" si="2"/>
        <v>Falso</v>
      </c>
    </row>
    <row r="142" spans="1:3" hidden="1" x14ac:dyDescent="0.25">
      <c r="A142" s="8">
        <v>47</v>
      </c>
      <c r="B142" s="6">
        <v>4</v>
      </c>
      <c r="C142" s="11" t="str">
        <f t="shared" si="2"/>
        <v>Falso</v>
      </c>
    </row>
    <row r="143" spans="1:3" hidden="1" x14ac:dyDescent="0.25">
      <c r="A143" s="8">
        <v>43</v>
      </c>
      <c r="B143" s="6">
        <v>1</v>
      </c>
      <c r="C143" s="11" t="str">
        <f t="shared" si="2"/>
        <v>Falso</v>
      </c>
    </row>
    <row r="144" spans="1:3" x14ac:dyDescent="0.25">
      <c r="A144" s="8">
        <v>40</v>
      </c>
      <c r="B144" s="6">
        <v>2</v>
      </c>
      <c r="C144" s="11">
        <f t="shared" si="2"/>
        <v>40</v>
      </c>
    </row>
    <row r="145" spans="1:3" x14ac:dyDescent="0.25">
      <c r="A145" s="8">
        <v>27</v>
      </c>
      <c r="B145" s="6">
        <v>2</v>
      </c>
      <c r="C145" s="11">
        <f t="shared" si="2"/>
        <v>27</v>
      </c>
    </row>
    <row r="146" spans="1:3" hidden="1" x14ac:dyDescent="0.25">
      <c r="A146" s="8">
        <v>31</v>
      </c>
      <c r="B146" s="6">
        <v>3</v>
      </c>
      <c r="C146" s="11" t="str">
        <f t="shared" si="2"/>
        <v>Falso</v>
      </c>
    </row>
    <row r="147" spans="1:3" hidden="1" x14ac:dyDescent="0.25">
      <c r="A147" s="8">
        <v>26</v>
      </c>
      <c r="B147" s="6">
        <v>1</v>
      </c>
      <c r="C147" s="11" t="str">
        <f t="shared" si="2"/>
        <v>Falso</v>
      </c>
    </row>
    <row r="148" spans="1:3" x14ac:dyDescent="0.25">
      <c r="A148" s="8">
        <v>45</v>
      </c>
      <c r="B148" s="6">
        <v>2</v>
      </c>
      <c r="C148" s="11">
        <f t="shared" si="2"/>
        <v>45</v>
      </c>
    </row>
    <row r="149" spans="1:3" x14ac:dyDescent="0.25">
      <c r="A149" s="8">
        <v>34</v>
      </c>
      <c r="B149" s="6">
        <v>2</v>
      </c>
      <c r="C149" s="11">
        <f t="shared" si="2"/>
        <v>34</v>
      </c>
    </row>
    <row r="150" spans="1:3" hidden="1" x14ac:dyDescent="0.25">
      <c r="A150" s="8">
        <v>25</v>
      </c>
      <c r="B150" s="6">
        <v>3</v>
      </c>
      <c r="C150" s="11" t="str">
        <f t="shared" si="2"/>
        <v>Falso</v>
      </c>
    </row>
    <row r="151" spans="1:3" x14ac:dyDescent="0.25">
      <c r="A151" s="8">
        <v>40</v>
      </c>
      <c r="B151" s="6">
        <v>2</v>
      </c>
      <c r="C151" s="11">
        <f t="shared" si="2"/>
        <v>40</v>
      </c>
    </row>
    <row r="152" spans="1:3" hidden="1" x14ac:dyDescent="0.25">
      <c r="A152" s="8">
        <v>31</v>
      </c>
      <c r="B152" s="6">
        <v>3</v>
      </c>
      <c r="C152" s="11" t="str">
        <f t="shared" si="2"/>
        <v>Falso</v>
      </c>
    </row>
    <row r="153" spans="1:3" hidden="1" x14ac:dyDescent="0.25">
      <c r="A153" s="8">
        <v>33</v>
      </c>
      <c r="B153" s="6">
        <v>1</v>
      </c>
      <c r="C153" s="11" t="str">
        <f t="shared" si="2"/>
        <v>Falso</v>
      </c>
    </row>
    <row r="154" spans="1:3" hidden="1" x14ac:dyDescent="0.25">
      <c r="A154" s="8">
        <v>36</v>
      </c>
      <c r="B154" s="6">
        <v>1</v>
      </c>
      <c r="C154" s="11" t="str">
        <f t="shared" si="2"/>
        <v>Falso</v>
      </c>
    </row>
    <row r="155" spans="1:3" x14ac:dyDescent="0.25">
      <c r="A155" s="8">
        <v>45</v>
      </c>
      <c r="B155" s="6">
        <v>2</v>
      </c>
      <c r="C155" s="11">
        <f t="shared" si="2"/>
        <v>45</v>
      </c>
    </row>
    <row r="156" spans="1:3" x14ac:dyDescent="0.25">
      <c r="A156" s="8">
        <v>40</v>
      </c>
      <c r="B156" s="6">
        <v>2</v>
      </c>
      <c r="C156" s="11">
        <f t="shared" si="2"/>
        <v>40</v>
      </c>
    </row>
    <row r="157" spans="1:3" hidden="1" x14ac:dyDescent="0.25">
      <c r="A157" s="8">
        <v>30</v>
      </c>
      <c r="B157" s="6">
        <v>4</v>
      </c>
      <c r="C157" s="11" t="str">
        <f t="shared" si="2"/>
        <v>Falso</v>
      </c>
    </row>
    <row r="158" spans="1:3" hidden="1" x14ac:dyDescent="0.25">
      <c r="A158" s="8">
        <v>34</v>
      </c>
      <c r="B158" s="6">
        <v>3</v>
      </c>
      <c r="C158" s="11" t="str">
        <f t="shared" si="2"/>
        <v>Falso</v>
      </c>
    </row>
    <row r="159" spans="1:3" hidden="1" x14ac:dyDescent="0.25">
      <c r="A159" s="8">
        <v>35</v>
      </c>
      <c r="B159" s="6">
        <v>1</v>
      </c>
      <c r="C159" s="11" t="str">
        <f t="shared" si="2"/>
        <v>Falso</v>
      </c>
    </row>
    <row r="160" spans="1:3" hidden="1" x14ac:dyDescent="0.25">
      <c r="A160" s="8">
        <v>41</v>
      </c>
      <c r="B160" s="6">
        <v>4</v>
      </c>
      <c r="C160" s="11" t="str">
        <f t="shared" si="2"/>
        <v>Falso</v>
      </c>
    </row>
    <row r="161" spans="1:3" hidden="1" x14ac:dyDescent="0.25">
      <c r="A161" s="8">
        <v>30</v>
      </c>
      <c r="B161" s="6">
        <v>3</v>
      </c>
      <c r="C161" s="11" t="str">
        <f t="shared" si="2"/>
        <v>Falso</v>
      </c>
    </row>
    <row r="162" spans="1:3" hidden="1" x14ac:dyDescent="0.25">
      <c r="A162" s="8">
        <v>36</v>
      </c>
      <c r="B162" s="6">
        <v>3</v>
      </c>
      <c r="C162" s="11" t="str">
        <f t="shared" si="2"/>
        <v>Falso</v>
      </c>
    </row>
    <row r="163" spans="1:3" x14ac:dyDescent="0.25">
      <c r="A163" s="8">
        <v>36</v>
      </c>
      <c r="B163" s="6">
        <v>2</v>
      </c>
      <c r="C163" s="11">
        <f t="shared" si="2"/>
        <v>36</v>
      </c>
    </row>
    <row r="164" spans="1:3" x14ac:dyDescent="0.25">
      <c r="A164" s="8">
        <v>27</v>
      </c>
      <c r="B164" s="6">
        <v>2</v>
      </c>
      <c r="C164" s="11">
        <f t="shared" si="2"/>
        <v>27</v>
      </c>
    </row>
    <row r="165" spans="1:3" hidden="1" x14ac:dyDescent="0.25">
      <c r="A165" s="8">
        <v>41</v>
      </c>
      <c r="B165" s="6">
        <v>4</v>
      </c>
      <c r="C165" s="11" t="str">
        <f t="shared" si="2"/>
        <v>Falso</v>
      </c>
    </row>
    <row r="166" spans="1:3" hidden="1" x14ac:dyDescent="0.25">
      <c r="A166" s="8">
        <v>47</v>
      </c>
      <c r="B166" s="6">
        <v>3</v>
      </c>
      <c r="C166" s="11" t="str">
        <f t="shared" si="2"/>
        <v>Falso</v>
      </c>
    </row>
    <row r="167" spans="1:3" x14ac:dyDescent="0.25">
      <c r="A167" s="8">
        <v>47</v>
      </c>
      <c r="B167" s="6">
        <v>2</v>
      </c>
      <c r="C167" s="11">
        <f t="shared" si="2"/>
        <v>47</v>
      </c>
    </row>
    <row r="168" spans="1:3" hidden="1" x14ac:dyDescent="0.25">
      <c r="A168" s="8">
        <v>29</v>
      </c>
      <c r="B168" s="6">
        <v>1</v>
      </c>
      <c r="C168" s="11" t="str">
        <f t="shared" si="2"/>
        <v>Falso</v>
      </c>
    </row>
    <row r="169" spans="1:3" hidden="1" x14ac:dyDescent="0.25">
      <c r="A169" s="8">
        <v>33</v>
      </c>
      <c r="B169" s="6">
        <v>4</v>
      </c>
      <c r="C169" s="11" t="str">
        <f t="shared" si="2"/>
        <v>Falso</v>
      </c>
    </row>
    <row r="170" spans="1:3" hidden="1" x14ac:dyDescent="0.25">
      <c r="A170" s="8">
        <v>38</v>
      </c>
      <c r="B170" s="6">
        <v>1</v>
      </c>
      <c r="C170" s="11" t="str">
        <f t="shared" si="2"/>
        <v>Falso</v>
      </c>
    </row>
    <row r="171" spans="1:3" hidden="1" x14ac:dyDescent="0.25">
      <c r="A171" s="8">
        <v>39</v>
      </c>
      <c r="B171" s="6">
        <v>3</v>
      </c>
      <c r="C171" s="11" t="str">
        <f t="shared" si="2"/>
        <v>Falso</v>
      </c>
    </row>
    <row r="172" spans="1:3" hidden="1" x14ac:dyDescent="0.25">
      <c r="A172" s="8">
        <v>32</v>
      </c>
      <c r="B172" s="6">
        <v>3</v>
      </c>
      <c r="C172" s="11" t="str">
        <f t="shared" si="2"/>
        <v>Falso</v>
      </c>
    </row>
    <row r="173" spans="1:3" hidden="1" x14ac:dyDescent="0.25">
      <c r="A173" s="8">
        <v>18</v>
      </c>
      <c r="B173" s="6">
        <v>4</v>
      </c>
      <c r="C173" s="11" t="str">
        <f t="shared" si="2"/>
        <v>Falso</v>
      </c>
    </row>
    <row r="174" spans="1:3" x14ac:dyDescent="0.25">
      <c r="A174" s="8">
        <v>36</v>
      </c>
      <c r="B174" s="6">
        <v>2</v>
      </c>
      <c r="C174" s="11">
        <f t="shared" si="2"/>
        <v>36</v>
      </c>
    </row>
    <row r="175" spans="1:3" hidden="1" x14ac:dyDescent="0.25">
      <c r="A175" s="8">
        <v>36</v>
      </c>
      <c r="B175" s="6">
        <v>4</v>
      </c>
      <c r="C175" s="11" t="str">
        <f t="shared" si="2"/>
        <v>Falso</v>
      </c>
    </row>
    <row r="176" spans="1:3" hidden="1" x14ac:dyDescent="0.25">
      <c r="A176" s="8">
        <v>46</v>
      </c>
      <c r="B176" s="6">
        <v>1</v>
      </c>
      <c r="C176" s="11" t="str">
        <f t="shared" si="2"/>
        <v>Falso</v>
      </c>
    </row>
    <row r="177" spans="1:3" hidden="1" x14ac:dyDescent="0.25">
      <c r="A177" s="8">
        <v>44</v>
      </c>
      <c r="B177" s="6">
        <v>1</v>
      </c>
      <c r="C177" s="11" t="str">
        <f t="shared" si="2"/>
        <v>Falso</v>
      </c>
    </row>
    <row r="178" spans="1:3" hidden="1" x14ac:dyDescent="0.25">
      <c r="A178" s="8">
        <v>26</v>
      </c>
      <c r="B178" s="6">
        <v>3</v>
      </c>
      <c r="C178" s="11" t="str">
        <f t="shared" si="2"/>
        <v>Falso</v>
      </c>
    </row>
    <row r="179" spans="1:3" hidden="1" x14ac:dyDescent="0.25">
      <c r="A179" s="8">
        <v>34</v>
      </c>
      <c r="B179" s="6">
        <v>1</v>
      </c>
      <c r="C179" s="11" t="str">
        <f t="shared" si="2"/>
        <v>Falso</v>
      </c>
    </row>
    <row r="180" spans="1:3" x14ac:dyDescent="0.25">
      <c r="A180" s="8">
        <v>32</v>
      </c>
      <c r="B180" s="6">
        <v>2</v>
      </c>
      <c r="C180" s="11">
        <f t="shared" si="2"/>
        <v>32</v>
      </c>
    </row>
    <row r="181" spans="1:3" hidden="1" x14ac:dyDescent="0.25">
      <c r="A181" s="8">
        <v>17</v>
      </c>
      <c r="B181" s="6">
        <v>1</v>
      </c>
      <c r="C181" s="11" t="str">
        <f t="shared" si="2"/>
        <v>Falso</v>
      </c>
    </row>
    <row r="182" spans="1:3" hidden="1" x14ac:dyDescent="0.25">
      <c r="A182" s="8">
        <v>28</v>
      </c>
      <c r="B182" s="6">
        <v>4</v>
      </c>
      <c r="C182" s="11" t="str">
        <f t="shared" si="2"/>
        <v>Falso</v>
      </c>
    </row>
    <row r="183" spans="1:3" hidden="1" x14ac:dyDescent="0.25">
      <c r="A183" s="8">
        <v>45</v>
      </c>
      <c r="B183" s="6">
        <v>4</v>
      </c>
      <c r="C183" s="11" t="str">
        <f t="shared" si="2"/>
        <v>Falso</v>
      </c>
    </row>
    <row r="184" spans="1:3" hidden="1" x14ac:dyDescent="0.25">
      <c r="A184" s="8">
        <v>37</v>
      </c>
      <c r="B184" s="6">
        <v>1</v>
      </c>
      <c r="C184" s="11" t="str">
        <f t="shared" si="2"/>
        <v>Falso</v>
      </c>
    </row>
    <row r="185" spans="1:3" hidden="1" x14ac:dyDescent="0.25">
      <c r="A185" s="8">
        <v>46</v>
      </c>
      <c r="B185" s="6">
        <v>4</v>
      </c>
      <c r="C185" s="11" t="str">
        <f t="shared" si="2"/>
        <v>Falso</v>
      </c>
    </row>
    <row r="186" spans="1:3" hidden="1" x14ac:dyDescent="0.25">
      <c r="A186" s="8">
        <v>43</v>
      </c>
      <c r="B186" s="6">
        <v>1</v>
      </c>
      <c r="C186" s="11" t="str">
        <f t="shared" si="2"/>
        <v>Falso</v>
      </c>
    </row>
    <row r="187" spans="1:3" hidden="1" x14ac:dyDescent="0.25">
      <c r="A187" s="8">
        <v>36</v>
      </c>
      <c r="B187" s="6">
        <v>4</v>
      </c>
      <c r="C187" s="11" t="str">
        <f t="shared" si="2"/>
        <v>Falso</v>
      </c>
    </row>
    <row r="188" spans="1:3" hidden="1" x14ac:dyDescent="0.25">
      <c r="A188" s="8">
        <v>23</v>
      </c>
      <c r="B188" s="6">
        <v>1</v>
      </c>
      <c r="C188" s="11" t="str">
        <f t="shared" si="2"/>
        <v>Falso</v>
      </c>
    </row>
    <row r="189" spans="1:3" hidden="1" x14ac:dyDescent="0.25">
      <c r="A189" s="8">
        <v>30</v>
      </c>
      <c r="B189" s="6">
        <v>3</v>
      </c>
      <c r="C189" s="11" t="str">
        <f t="shared" si="2"/>
        <v>Falso</v>
      </c>
    </row>
    <row r="190" spans="1:3" hidden="1" x14ac:dyDescent="0.25">
      <c r="A190" s="8">
        <v>20</v>
      </c>
      <c r="B190" s="6">
        <v>3</v>
      </c>
      <c r="C190" s="11" t="str">
        <f t="shared" si="2"/>
        <v>Falso</v>
      </c>
    </row>
    <row r="191" spans="1:3" hidden="1" x14ac:dyDescent="0.25">
      <c r="A191" s="8">
        <v>38</v>
      </c>
      <c r="B191" s="6">
        <v>3</v>
      </c>
      <c r="C191" s="11" t="str">
        <f t="shared" si="2"/>
        <v>Falso</v>
      </c>
    </row>
    <row r="192" spans="1:3" hidden="1" x14ac:dyDescent="0.25">
      <c r="A192" s="8">
        <v>35</v>
      </c>
      <c r="B192" s="6">
        <v>1</v>
      </c>
      <c r="C192" s="11" t="str">
        <f t="shared" si="2"/>
        <v>Falso</v>
      </c>
    </row>
    <row r="193" spans="1:3" x14ac:dyDescent="0.25">
      <c r="A193" s="8">
        <v>35</v>
      </c>
      <c r="B193" s="6">
        <v>2</v>
      </c>
      <c r="C193" s="11">
        <f t="shared" si="2"/>
        <v>35</v>
      </c>
    </row>
    <row r="194" spans="1:3" hidden="1" x14ac:dyDescent="0.25">
      <c r="A194" s="8">
        <v>40</v>
      </c>
      <c r="B194" s="6">
        <v>4</v>
      </c>
      <c r="C194" s="11" t="str">
        <f t="shared" si="2"/>
        <v>Falso</v>
      </c>
    </row>
    <row r="195" spans="1:3" hidden="1" x14ac:dyDescent="0.25">
      <c r="A195" s="8">
        <v>40</v>
      </c>
      <c r="B195" s="6">
        <v>4</v>
      </c>
      <c r="C195" s="11" t="str">
        <f t="shared" ref="C195:C251" si="3">IF(B195=2,A195,"Falso")</f>
        <v>Falso</v>
      </c>
    </row>
    <row r="196" spans="1:3" x14ac:dyDescent="0.25">
      <c r="A196" s="8">
        <v>33</v>
      </c>
      <c r="B196" s="6">
        <v>2</v>
      </c>
      <c r="C196" s="11">
        <f t="shared" si="3"/>
        <v>33</v>
      </c>
    </row>
    <row r="197" spans="1:3" hidden="1" x14ac:dyDescent="0.25">
      <c r="A197" s="8">
        <v>31</v>
      </c>
      <c r="B197" s="6">
        <v>3</v>
      </c>
      <c r="C197" s="11" t="str">
        <f t="shared" si="3"/>
        <v>Falso</v>
      </c>
    </row>
    <row r="198" spans="1:3" hidden="1" x14ac:dyDescent="0.25">
      <c r="A198" s="8">
        <v>43</v>
      </c>
      <c r="B198" s="6">
        <v>1</v>
      </c>
      <c r="C198" s="11" t="str">
        <f t="shared" si="3"/>
        <v>Falso</v>
      </c>
    </row>
    <row r="199" spans="1:3" hidden="1" x14ac:dyDescent="0.25">
      <c r="A199" s="8">
        <v>33</v>
      </c>
      <c r="B199" s="6">
        <v>3</v>
      </c>
      <c r="C199" s="11" t="str">
        <f t="shared" si="3"/>
        <v>Falso</v>
      </c>
    </row>
    <row r="200" spans="1:3" hidden="1" x14ac:dyDescent="0.25">
      <c r="A200" s="8">
        <v>37</v>
      </c>
      <c r="B200" s="6">
        <v>4</v>
      </c>
      <c r="C200" s="11" t="str">
        <f t="shared" si="3"/>
        <v>Falso</v>
      </c>
    </row>
    <row r="201" spans="1:3" hidden="1" x14ac:dyDescent="0.25">
      <c r="A201" s="8">
        <v>34</v>
      </c>
      <c r="B201" s="6">
        <v>3</v>
      </c>
      <c r="C201" s="11" t="str">
        <f t="shared" si="3"/>
        <v>Falso</v>
      </c>
    </row>
    <row r="202" spans="1:3" hidden="1" x14ac:dyDescent="0.25">
      <c r="A202" s="8">
        <v>35</v>
      </c>
      <c r="B202" s="6">
        <v>3</v>
      </c>
      <c r="C202" s="11" t="str">
        <f t="shared" si="3"/>
        <v>Falso</v>
      </c>
    </row>
    <row r="203" spans="1:3" hidden="1" x14ac:dyDescent="0.25">
      <c r="A203" s="8">
        <v>37</v>
      </c>
      <c r="B203" s="6">
        <v>3</v>
      </c>
      <c r="C203" s="11" t="str">
        <f t="shared" si="3"/>
        <v>Falso</v>
      </c>
    </row>
    <row r="204" spans="1:3" hidden="1" x14ac:dyDescent="0.25">
      <c r="A204" s="8">
        <v>33</v>
      </c>
      <c r="B204" s="6">
        <v>3</v>
      </c>
      <c r="C204" s="11" t="str">
        <f t="shared" si="3"/>
        <v>Falso</v>
      </c>
    </row>
    <row r="205" spans="1:3" hidden="1" x14ac:dyDescent="0.25">
      <c r="A205" s="8">
        <v>29</v>
      </c>
      <c r="B205" s="6">
        <v>4</v>
      </c>
      <c r="C205" s="11" t="str">
        <f t="shared" si="3"/>
        <v>Falso</v>
      </c>
    </row>
    <row r="206" spans="1:3" hidden="1" x14ac:dyDescent="0.25">
      <c r="A206" s="8">
        <v>29</v>
      </c>
      <c r="B206" s="6">
        <v>3</v>
      </c>
      <c r="C206" s="11" t="str">
        <f t="shared" si="3"/>
        <v>Falso</v>
      </c>
    </row>
    <row r="207" spans="1:3" x14ac:dyDescent="0.25">
      <c r="A207" s="8">
        <v>34</v>
      </c>
      <c r="B207" s="6">
        <v>2</v>
      </c>
      <c r="C207" s="11">
        <f t="shared" si="3"/>
        <v>34</v>
      </c>
    </row>
    <row r="208" spans="1:3" hidden="1" x14ac:dyDescent="0.25">
      <c r="A208" s="8">
        <v>37</v>
      </c>
      <c r="B208" s="6">
        <v>4</v>
      </c>
      <c r="C208" s="11" t="str">
        <f t="shared" si="3"/>
        <v>Falso</v>
      </c>
    </row>
    <row r="209" spans="1:3" x14ac:dyDescent="0.25">
      <c r="A209" s="8">
        <v>44</v>
      </c>
      <c r="B209" s="6">
        <v>2</v>
      </c>
      <c r="C209" s="11">
        <f t="shared" si="3"/>
        <v>44</v>
      </c>
    </row>
    <row r="210" spans="1:3" hidden="1" x14ac:dyDescent="0.25">
      <c r="A210" s="8">
        <v>31</v>
      </c>
      <c r="B210" s="6">
        <v>3</v>
      </c>
      <c r="C210" s="11" t="str">
        <f t="shared" si="3"/>
        <v>Falso</v>
      </c>
    </row>
    <row r="211" spans="1:3" x14ac:dyDescent="0.25">
      <c r="A211" s="8">
        <v>28</v>
      </c>
      <c r="B211" s="6">
        <v>2</v>
      </c>
      <c r="C211" s="11">
        <f t="shared" si="3"/>
        <v>28</v>
      </c>
    </row>
    <row r="212" spans="1:3" hidden="1" x14ac:dyDescent="0.25">
      <c r="A212" s="8">
        <v>31</v>
      </c>
      <c r="B212" s="6">
        <v>3</v>
      </c>
      <c r="C212" s="11" t="str">
        <f t="shared" si="3"/>
        <v>Falso</v>
      </c>
    </row>
    <row r="213" spans="1:3" hidden="1" x14ac:dyDescent="0.25">
      <c r="A213" s="8">
        <v>37</v>
      </c>
      <c r="B213" s="6">
        <v>1</v>
      </c>
      <c r="C213" s="11" t="str">
        <f t="shared" si="3"/>
        <v>Falso</v>
      </c>
    </row>
    <row r="214" spans="1:3" hidden="1" x14ac:dyDescent="0.25">
      <c r="A214" s="8">
        <v>50</v>
      </c>
      <c r="B214" s="6">
        <v>4</v>
      </c>
      <c r="C214" s="11" t="str">
        <f t="shared" si="3"/>
        <v>Falso</v>
      </c>
    </row>
    <row r="215" spans="1:3" x14ac:dyDescent="0.25">
      <c r="A215" s="8">
        <v>26</v>
      </c>
      <c r="B215" s="6">
        <v>2</v>
      </c>
      <c r="C215" s="11">
        <f t="shared" si="3"/>
        <v>26</v>
      </c>
    </row>
    <row r="216" spans="1:3" hidden="1" x14ac:dyDescent="0.25">
      <c r="A216" s="8">
        <v>27</v>
      </c>
      <c r="B216" s="6">
        <v>1</v>
      </c>
      <c r="C216" s="11" t="str">
        <f t="shared" si="3"/>
        <v>Falso</v>
      </c>
    </row>
    <row r="217" spans="1:3" hidden="1" x14ac:dyDescent="0.25">
      <c r="A217" s="8">
        <v>25</v>
      </c>
      <c r="B217" s="6">
        <v>3</v>
      </c>
      <c r="C217" s="11" t="str">
        <f t="shared" si="3"/>
        <v>Falso</v>
      </c>
    </row>
    <row r="218" spans="1:3" x14ac:dyDescent="0.25">
      <c r="A218" s="8">
        <v>45</v>
      </c>
      <c r="B218" s="6">
        <v>2</v>
      </c>
      <c r="C218" s="11">
        <f t="shared" si="3"/>
        <v>45</v>
      </c>
    </row>
    <row r="219" spans="1:3" hidden="1" x14ac:dyDescent="0.25">
      <c r="A219" s="8">
        <v>43</v>
      </c>
      <c r="B219" s="6">
        <v>1</v>
      </c>
      <c r="C219" s="11" t="str">
        <f t="shared" si="3"/>
        <v>Falso</v>
      </c>
    </row>
    <row r="220" spans="1:3" hidden="1" x14ac:dyDescent="0.25">
      <c r="A220" s="8">
        <v>32</v>
      </c>
      <c r="B220" s="6">
        <v>1</v>
      </c>
      <c r="C220" s="11" t="str">
        <f t="shared" si="3"/>
        <v>Falso</v>
      </c>
    </row>
    <row r="221" spans="1:3" hidden="1" x14ac:dyDescent="0.25">
      <c r="A221" s="8">
        <v>29</v>
      </c>
      <c r="B221" s="6">
        <v>1</v>
      </c>
      <c r="C221" s="11" t="str">
        <f t="shared" si="3"/>
        <v>Falso</v>
      </c>
    </row>
    <row r="222" spans="1:3" x14ac:dyDescent="0.25">
      <c r="A222" s="8">
        <v>45</v>
      </c>
      <c r="B222" s="6">
        <v>2</v>
      </c>
      <c r="C222" s="11">
        <f t="shared" si="3"/>
        <v>45</v>
      </c>
    </row>
    <row r="223" spans="1:3" hidden="1" x14ac:dyDescent="0.25">
      <c r="A223" s="8">
        <v>34</v>
      </c>
      <c r="B223" s="6">
        <v>3</v>
      </c>
      <c r="C223" s="11" t="str">
        <f t="shared" si="3"/>
        <v>Falso</v>
      </c>
    </row>
    <row r="224" spans="1:3" x14ac:dyDescent="0.25">
      <c r="A224" s="8">
        <v>33</v>
      </c>
      <c r="B224" s="6">
        <v>2</v>
      </c>
      <c r="C224" s="11">
        <f t="shared" si="3"/>
        <v>33</v>
      </c>
    </row>
    <row r="225" spans="1:3" hidden="1" x14ac:dyDescent="0.25">
      <c r="A225" s="8">
        <v>32</v>
      </c>
      <c r="B225" s="6">
        <v>3</v>
      </c>
      <c r="C225" s="11" t="str">
        <f t="shared" si="3"/>
        <v>Falso</v>
      </c>
    </row>
    <row r="226" spans="1:3" hidden="1" x14ac:dyDescent="0.25">
      <c r="A226" s="8">
        <v>48</v>
      </c>
      <c r="B226" s="6">
        <v>4</v>
      </c>
      <c r="C226" s="11" t="str">
        <f t="shared" si="3"/>
        <v>Falso</v>
      </c>
    </row>
    <row r="227" spans="1:3" hidden="1" x14ac:dyDescent="0.25">
      <c r="A227" s="8">
        <v>45</v>
      </c>
      <c r="B227" s="6">
        <v>3</v>
      </c>
      <c r="C227" s="11" t="str">
        <f t="shared" si="3"/>
        <v>Falso</v>
      </c>
    </row>
    <row r="228" spans="1:3" hidden="1" x14ac:dyDescent="0.25">
      <c r="A228" s="8">
        <v>44</v>
      </c>
      <c r="B228" s="6">
        <v>3</v>
      </c>
      <c r="C228" s="11" t="str">
        <f t="shared" si="3"/>
        <v>Falso</v>
      </c>
    </row>
    <row r="229" spans="1:3" hidden="1" x14ac:dyDescent="0.25">
      <c r="A229" s="8">
        <v>40</v>
      </c>
      <c r="B229" s="6">
        <v>1</v>
      </c>
      <c r="C229" s="11" t="str">
        <f t="shared" si="3"/>
        <v>Falso</v>
      </c>
    </row>
    <row r="230" spans="1:3" x14ac:dyDescent="0.25">
      <c r="A230" s="8">
        <v>33</v>
      </c>
      <c r="B230" s="6">
        <v>2</v>
      </c>
      <c r="C230" s="11">
        <f t="shared" si="3"/>
        <v>33</v>
      </c>
    </row>
    <row r="231" spans="1:3" hidden="1" x14ac:dyDescent="0.25">
      <c r="A231" s="8">
        <v>32</v>
      </c>
      <c r="B231" s="6">
        <v>1</v>
      </c>
      <c r="C231" s="11" t="str">
        <f t="shared" si="3"/>
        <v>Falso</v>
      </c>
    </row>
    <row r="232" spans="1:3" hidden="1" x14ac:dyDescent="0.25">
      <c r="A232" s="8">
        <v>31</v>
      </c>
      <c r="B232" s="6">
        <v>3</v>
      </c>
      <c r="C232" s="11" t="str">
        <f t="shared" si="3"/>
        <v>Falso</v>
      </c>
    </row>
    <row r="233" spans="1:3" x14ac:dyDescent="0.25">
      <c r="A233" s="8">
        <v>44</v>
      </c>
      <c r="B233" s="6">
        <v>2</v>
      </c>
      <c r="C233" s="11">
        <f t="shared" si="3"/>
        <v>44</v>
      </c>
    </row>
    <row r="234" spans="1:3" hidden="1" x14ac:dyDescent="0.25">
      <c r="A234" s="8">
        <v>34</v>
      </c>
      <c r="B234" s="6">
        <v>4</v>
      </c>
      <c r="C234" s="11" t="str">
        <f t="shared" si="3"/>
        <v>Falso</v>
      </c>
    </row>
    <row r="235" spans="1:3" hidden="1" x14ac:dyDescent="0.25">
      <c r="A235" s="8">
        <v>44</v>
      </c>
      <c r="B235" s="6">
        <v>1</v>
      </c>
      <c r="C235" s="11" t="str">
        <f t="shared" si="3"/>
        <v>Falso</v>
      </c>
    </row>
    <row r="236" spans="1:3" x14ac:dyDescent="0.25">
      <c r="A236" s="8">
        <v>42</v>
      </c>
      <c r="B236" s="6">
        <v>2</v>
      </c>
      <c r="C236" s="11">
        <f t="shared" si="3"/>
        <v>42</v>
      </c>
    </row>
    <row r="237" spans="1:3" hidden="1" x14ac:dyDescent="0.25">
      <c r="A237" s="8">
        <v>16</v>
      </c>
      <c r="B237" s="6">
        <v>4</v>
      </c>
      <c r="C237" s="11" t="str">
        <f t="shared" si="3"/>
        <v>Falso</v>
      </c>
    </row>
    <row r="238" spans="1:3" x14ac:dyDescent="0.25">
      <c r="A238" s="8">
        <v>37</v>
      </c>
      <c r="B238" s="6">
        <v>2</v>
      </c>
      <c r="C238" s="11">
        <f t="shared" si="3"/>
        <v>37</v>
      </c>
    </row>
    <row r="239" spans="1:3" x14ac:dyDescent="0.25">
      <c r="A239" s="8">
        <v>42</v>
      </c>
      <c r="B239" s="6">
        <v>2</v>
      </c>
      <c r="C239" s="11">
        <f t="shared" si="3"/>
        <v>42</v>
      </c>
    </row>
    <row r="240" spans="1:3" x14ac:dyDescent="0.25">
      <c r="A240" s="8">
        <v>47</v>
      </c>
      <c r="B240" s="6">
        <v>2</v>
      </c>
      <c r="C240" s="11">
        <f t="shared" si="3"/>
        <v>47</v>
      </c>
    </row>
    <row r="241" spans="1:3" hidden="1" x14ac:dyDescent="0.25">
      <c r="A241" s="8">
        <v>41</v>
      </c>
      <c r="B241" s="6">
        <v>1</v>
      </c>
      <c r="C241" s="11" t="str">
        <f t="shared" si="3"/>
        <v>Falso</v>
      </c>
    </row>
    <row r="242" spans="1:3" hidden="1" x14ac:dyDescent="0.25">
      <c r="A242" s="8">
        <v>30</v>
      </c>
      <c r="B242" s="6">
        <v>4</v>
      </c>
      <c r="C242" s="11" t="str">
        <f t="shared" si="3"/>
        <v>Falso</v>
      </c>
    </row>
    <row r="243" spans="1:3" hidden="1" x14ac:dyDescent="0.25">
      <c r="A243" s="8">
        <v>36</v>
      </c>
      <c r="B243" s="6">
        <v>1</v>
      </c>
      <c r="C243" s="11" t="str">
        <f t="shared" si="3"/>
        <v>Falso</v>
      </c>
    </row>
    <row r="244" spans="1:3" hidden="1" x14ac:dyDescent="0.25">
      <c r="A244" s="8">
        <v>44</v>
      </c>
      <c r="B244" s="6">
        <v>3</v>
      </c>
      <c r="C244" s="11" t="str">
        <f t="shared" si="3"/>
        <v>Falso</v>
      </c>
    </row>
    <row r="245" spans="1:3" hidden="1" x14ac:dyDescent="0.25">
      <c r="A245" s="8">
        <v>42</v>
      </c>
      <c r="B245" s="6">
        <v>4</v>
      </c>
      <c r="C245" s="11" t="str">
        <f t="shared" si="3"/>
        <v>Falso</v>
      </c>
    </row>
    <row r="246" spans="1:3" hidden="1" x14ac:dyDescent="0.25">
      <c r="A246" s="8">
        <v>31</v>
      </c>
      <c r="B246" s="6">
        <v>3</v>
      </c>
      <c r="C246" s="11" t="str">
        <f t="shared" si="3"/>
        <v>Falso</v>
      </c>
    </row>
    <row r="247" spans="1:3" x14ac:dyDescent="0.25">
      <c r="A247" s="8">
        <v>30</v>
      </c>
      <c r="B247" s="6">
        <v>2</v>
      </c>
      <c r="C247" s="11">
        <f t="shared" si="3"/>
        <v>30</v>
      </c>
    </row>
    <row r="248" spans="1:3" hidden="1" x14ac:dyDescent="0.25">
      <c r="A248" s="8">
        <v>40</v>
      </c>
      <c r="B248" s="6">
        <v>4</v>
      </c>
      <c r="C248" s="11" t="str">
        <f t="shared" si="3"/>
        <v>Falso</v>
      </c>
    </row>
    <row r="249" spans="1:3" hidden="1" x14ac:dyDescent="0.25">
      <c r="A249" s="8">
        <v>27</v>
      </c>
      <c r="B249" s="6">
        <v>1</v>
      </c>
      <c r="C249" s="11" t="str">
        <f t="shared" si="3"/>
        <v>Falso</v>
      </c>
    </row>
    <row r="250" spans="1:3" hidden="1" x14ac:dyDescent="0.25">
      <c r="A250" s="8">
        <v>29</v>
      </c>
      <c r="B250" s="6">
        <v>3</v>
      </c>
      <c r="C250" s="11" t="str">
        <f t="shared" si="3"/>
        <v>Falso</v>
      </c>
    </row>
    <row r="251" spans="1:3" hidden="1" x14ac:dyDescent="0.25">
      <c r="A251" s="8">
        <v>41</v>
      </c>
      <c r="B251" s="6">
        <v>1</v>
      </c>
      <c r="C251" s="11" t="str">
        <f t="shared" si="3"/>
        <v>Falso</v>
      </c>
    </row>
    <row r="252" spans="1:3" s="4" customFormat="1" hidden="1" x14ac:dyDescent="0.25">
      <c r="A252" s="12"/>
      <c r="C252" s="12"/>
    </row>
    <row r="253" spans="1:3" s="4" customFormat="1" hidden="1" x14ac:dyDescent="0.25">
      <c r="A253" s="12"/>
      <c r="C253" s="12"/>
    </row>
    <row r="254" spans="1:3" s="4" customFormat="1" hidden="1" x14ac:dyDescent="0.25">
      <c r="A254" s="12"/>
      <c r="C254" s="12"/>
    </row>
    <row r="255" spans="1:3" s="4" customFormat="1" hidden="1" x14ac:dyDescent="0.25">
      <c r="A255" s="12"/>
      <c r="C255" s="12"/>
    </row>
    <row r="256" spans="1:3" s="4" customFormat="1" hidden="1" x14ac:dyDescent="0.25">
      <c r="A256" s="12"/>
      <c r="C256" s="12"/>
    </row>
    <row r="257" spans="1:3" s="4" customFormat="1" hidden="1" x14ac:dyDescent="0.25">
      <c r="A257" s="12"/>
      <c r="C257" s="12"/>
    </row>
    <row r="258" spans="1:3" s="4" customFormat="1" hidden="1" x14ac:dyDescent="0.25">
      <c r="A258" s="12"/>
      <c r="C258" s="12"/>
    </row>
    <row r="259" spans="1:3" s="4" customFormat="1" hidden="1" x14ac:dyDescent="0.25">
      <c r="A259" s="12"/>
      <c r="C259" s="12"/>
    </row>
    <row r="260" spans="1:3" s="4" customFormat="1" hidden="1" x14ac:dyDescent="0.25">
      <c r="A260" s="12"/>
      <c r="C260" s="12"/>
    </row>
    <row r="261" spans="1:3" s="4" customFormat="1" hidden="1" x14ac:dyDescent="0.25">
      <c r="A261" s="12"/>
      <c r="C261" s="12"/>
    </row>
    <row r="262" spans="1:3" s="4" customFormat="1" hidden="1" x14ac:dyDescent="0.25">
      <c r="A262" s="12"/>
      <c r="C262" s="12"/>
    </row>
    <row r="263" spans="1:3" s="4" customFormat="1" hidden="1" x14ac:dyDescent="0.25">
      <c r="A263" s="12"/>
      <c r="C263" s="12"/>
    </row>
    <row r="264" spans="1:3" s="4" customFormat="1" hidden="1" x14ac:dyDescent="0.25">
      <c r="A264" s="12"/>
      <c r="C264" s="12"/>
    </row>
    <row r="265" spans="1:3" s="4" customFormat="1" hidden="1" x14ac:dyDescent="0.25">
      <c r="A265" s="12"/>
      <c r="C265" s="12"/>
    </row>
    <row r="266" spans="1:3" s="4" customFormat="1" hidden="1" x14ac:dyDescent="0.25">
      <c r="A266" s="12"/>
      <c r="C266" s="12"/>
    </row>
    <row r="267" spans="1:3" s="4" customFormat="1" hidden="1" x14ac:dyDescent="0.25">
      <c r="A267" s="12"/>
      <c r="C267" s="12"/>
    </row>
    <row r="268" spans="1:3" s="4" customFormat="1" hidden="1" x14ac:dyDescent="0.25">
      <c r="A268" s="12"/>
      <c r="C268" s="12"/>
    </row>
    <row r="269" spans="1:3" s="4" customFormat="1" hidden="1" x14ac:dyDescent="0.25">
      <c r="A269" s="12"/>
      <c r="C269" s="12"/>
    </row>
    <row r="270" spans="1:3" s="4" customFormat="1" hidden="1" x14ac:dyDescent="0.25">
      <c r="A270" s="12"/>
      <c r="C270" s="12"/>
    </row>
    <row r="271" spans="1:3" s="4" customFormat="1" hidden="1" x14ac:dyDescent="0.25">
      <c r="A271" s="12"/>
      <c r="C271" s="12"/>
    </row>
    <row r="272" spans="1:3" s="4" customFormat="1" hidden="1" x14ac:dyDescent="0.25">
      <c r="A272" s="12"/>
      <c r="C272" s="12"/>
    </row>
    <row r="273" spans="1:3" s="4" customFormat="1" hidden="1" x14ac:dyDescent="0.25">
      <c r="A273" s="12"/>
      <c r="C273" s="12"/>
    </row>
    <row r="274" spans="1:3" s="4" customFormat="1" hidden="1" x14ac:dyDescent="0.25">
      <c r="A274" s="12"/>
      <c r="C274" s="12"/>
    </row>
    <row r="275" spans="1:3" s="4" customFormat="1" hidden="1" x14ac:dyDescent="0.25">
      <c r="A275" s="12"/>
      <c r="C275" s="12"/>
    </row>
    <row r="276" spans="1:3" s="4" customFormat="1" hidden="1" x14ac:dyDescent="0.25">
      <c r="A276" s="12"/>
      <c r="C276" s="12"/>
    </row>
    <row r="277" spans="1:3" s="4" customFormat="1" hidden="1" x14ac:dyDescent="0.25">
      <c r="A277" s="12"/>
      <c r="C277" s="12"/>
    </row>
    <row r="278" spans="1:3" s="4" customFormat="1" hidden="1" x14ac:dyDescent="0.25">
      <c r="A278" s="12"/>
      <c r="C278" s="12"/>
    </row>
    <row r="279" spans="1:3" s="4" customFormat="1" hidden="1" x14ac:dyDescent="0.25">
      <c r="A279" s="12"/>
      <c r="C279" s="12"/>
    </row>
    <row r="280" spans="1:3" s="4" customFormat="1" hidden="1" x14ac:dyDescent="0.25">
      <c r="A280" s="12"/>
      <c r="C280" s="12"/>
    </row>
    <row r="281" spans="1:3" s="4" customFormat="1" hidden="1" x14ac:dyDescent="0.25">
      <c r="C281" s="12"/>
    </row>
    <row r="282" spans="1:3" s="4" customFormat="1" hidden="1" x14ac:dyDescent="0.25">
      <c r="C282" s="12"/>
    </row>
    <row r="283" spans="1:3" s="4" customFormat="1" hidden="1" x14ac:dyDescent="0.25">
      <c r="C283" s="12"/>
    </row>
    <row r="284" spans="1:3" s="4" customFormat="1" hidden="1" x14ac:dyDescent="0.25">
      <c r="C284" s="12"/>
    </row>
    <row r="285" spans="1:3" s="4" customFormat="1" hidden="1" x14ac:dyDescent="0.25">
      <c r="C285" s="12"/>
    </row>
    <row r="286" spans="1:3" s="4" customFormat="1" hidden="1" x14ac:dyDescent="0.25">
      <c r="C286" s="12"/>
    </row>
    <row r="287" spans="1:3" s="4" customFormat="1" hidden="1" x14ac:dyDescent="0.25">
      <c r="C287" s="12"/>
    </row>
    <row r="288" spans="1:3" s="4" customFormat="1" hidden="1" x14ac:dyDescent="0.25">
      <c r="C288" s="12"/>
    </row>
    <row r="289" spans="3:3" s="4" customFormat="1" hidden="1" x14ac:dyDescent="0.25">
      <c r="C289" s="12"/>
    </row>
    <row r="290" spans="3:3" s="4" customFormat="1" hidden="1" x14ac:dyDescent="0.25">
      <c r="C290" s="12"/>
    </row>
    <row r="291" spans="3:3" s="4" customFormat="1" hidden="1" x14ac:dyDescent="0.25">
      <c r="C291" s="12"/>
    </row>
    <row r="292" spans="3:3" s="4" customFormat="1" hidden="1" x14ac:dyDescent="0.25">
      <c r="C292" s="12"/>
    </row>
    <row r="293" spans="3:3" s="4" customFormat="1" hidden="1" x14ac:dyDescent="0.25">
      <c r="C293" s="12"/>
    </row>
    <row r="294" spans="3:3" s="4" customFormat="1" hidden="1" x14ac:dyDescent="0.25">
      <c r="C294" s="12"/>
    </row>
    <row r="295" spans="3:3" s="4" customFormat="1" hidden="1" x14ac:dyDescent="0.25">
      <c r="C295" s="12"/>
    </row>
    <row r="296" spans="3:3" s="4" customFormat="1" hidden="1" x14ac:dyDescent="0.25">
      <c r="C296" s="12"/>
    </row>
    <row r="297" spans="3:3" s="4" customFormat="1" hidden="1" x14ac:dyDescent="0.25">
      <c r="C297" s="12"/>
    </row>
    <row r="298" spans="3:3" s="4" customFormat="1" hidden="1" x14ac:dyDescent="0.25">
      <c r="C298" s="12"/>
    </row>
    <row r="299" spans="3:3" s="4" customFormat="1" hidden="1" x14ac:dyDescent="0.25">
      <c r="C299" s="12"/>
    </row>
    <row r="300" spans="3:3" s="4" customFormat="1" hidden="1" x14ac:dyDescent="0.25">
      <c r="C300" s="12"/>
    </row>
    <row r="301" spans="3:3" s="4" customFormat="1" hidden="1" x14ac:dyDescent="0.25">
      <c r="C301" s="12"/>
    </row>
    <row r="302" spans="3:3" s="4" customFormat="1" hidden="1" x14ac:dyDescent="0.25">
      <c r="C302" s="12"/>
    </row>
    <row r="303" spans="3:3" s="4" customFormat="1" hidden="1" x14ac:dyDescent="0.25">
      <c r="C303" s="12"/>
    </row>
    <row r="304" spans="3:3" s="4" customFormat="1" hidden="1" x14ac:dyDescent="0.25">
      <c r="C304" s="12"/>
    </row>
    <row r="305" spans="3:3" s="4" customFormat="1" hidden="1" x14ac:dyDescent="0.25">
      <c r="C305" s="12"/>
    </row>
    <row r="306" spans="3:3" s="4" customFormat="1" hidden="1" x14ac:dyDescent="0.25">
      <c r="C306" s="12"/>
    </row>
    <row r="307" spans="3:3" s="4" customFormat="1" hidden="1" x14ac:dyDescent="0.25">
      <c r="C307" s="12"/>
    </row>
    <row r="308" spans="3:3" s="4" customFormat="1" hidden="1" x14ac:dyDescent="0.25">
      <c r="C308" s="12"/>
    </row>
    <row r="309" spans="3:3" s="4" customFormat="1" hidden="1" x14ac:dyDescent="0.25">
      <c r="C309" s="12"/>
    </row>
    <row r="310" spans="3:3" s="4" customFormat="1" hidden="1" x14ac:dyDescent="0.25">
      <c r="C310" s="12"/>
    </row>
    <row r="311" spans="3:3" s="4" customFormat="1" hidden="1" x14ac:dyDescent="0.25">
      <c r="C311" s="12"/>
    </row>
    <row r="312" spans="3:3" s="4" customFormat="1" hidden="1" x14ac:dyDescent="0.25">
      <c r="C312" s="12"/>
    </row>
    <row r="313" spans="3:3" s="4" customFormat="1" hidden="1" x14ac:dyDescent="0.25">
      <c r="C313" s="12"/>
    </row>
    <row r="314" spans="3:3" s="4" customFormat="1" hidden="1" x14ac:dyDescent="0.25">
      <c r="C314" s="12"/>
    </row>
    <row r="315" spans="3:3" s="4" customFormat="1" hidden="1" x14ac:dyDescent="0.25">
      <c r="C315" s="12"/>
    </row>
    <row r="316" spans="3:3" s="4" customFormat="1" hidden="1" x14ac:dyDescent="0.25">
      <c r="C316" s="12"/>
    </row>
    <row r="317" spans="3:3" s="4" customFormat="1" hidden="1" x14ac:dyDescent="0.25">
      <c r="C317" s="12"/>
    </row>
    <row r="318" spans="3:3" s="4" customFormat="1" hidden="1" x14ac:dyDescent="0.25">
      <c r="C318" s="12"/>
    </row>
    <row r="319" spans="3:3" s="4" customFormat="1" hidden="1" x14ac:dyDescent="0.25">
      <c r="C319" s="12"/>
    </row>
    <row r="320" spans="3:3" s="4" customFormat="1" hidden="1" x14ac:dyDescent="0.25">
      <c r="C320" s="12"/>
    </row>
    <row r="321" spans="3:3" s="4" customFormat="1" hidden="1" x14ac:dyDescent="0.25">
      <c r="C321" s="12"/>
    </row>
    <row r="322" spans="3:3" s="4" customFormat="1" hidden="1" x14ac:dyDescent="0.25">
      <c r="C322" s="12"/>
    </row>
    <row r="323" spans="3:3" s="4" customFormat="1" hidden="1" x14ac:dyDescent="0.25">
      <c r="C323" s="12"/>
    </row>
    <row r="324" spans="3:3" s="4" customFormat="1" hidden="1" x14ac:dyDescent="0.25">
      <c r="C324" s="12"/>
    </row>
    <row r="325" spans="3:3" s="4" customFormat="1" hidden="1" x14ac:dyDescent="0.25">
      <c r="C325" s="12"/>
    </row>
    <row r="326" spans="3:3" s="4" customFormat="1" hidden="1" x14ac:dyDescent="0.25">
      <c r="C326" s="12"/>
    </row>
    <row r="327" spans="3:3" s="4" customFormat="1" hidden="1" x14ac:dyDescent="0.25">
      <c r="C327" s="12"/>
    </row>
    <row r="328" spans="3:3" s="4" customFormat="1" hidden="1" x14ac:dyDescent="0.25">
      <c r="C328" s="12"/>
    </row>
    <row r="329" spans="3:3" s="4" customFormat="1" hidden="1" x14ac:dyDescent="0.25">
      <c r="C329" s="12"/>
    </row>
    <row r="330" spans="3:3" s="4" customFormat="1" hidden="1" x14ac:dyDescent="0.25">
      <c r="C330" s="12"/>
    </row>
    <row r="331" spans="3:3" s="4" customFormat="1" hidden="1" x14ac:dyDescent="0.25">
      <c r="C331" s="12"/>
    </row>
    <row r="332" spans="3:3" s="4" customFormat="1" hidden="1" x14ac:dyDescent="0.25">
      <c r="C332" s="12"/>
    </row>
    <row r="333" spans="3:3" s="4" customFormat="1" hidden="1" x14ac:dyDescent="0.25">
      <c r="C333" s="12"/>
    </row>
    <row r="334" spans="3:3" s="4" customFormat="1" hidden="1" x14ac:dyDescent="0.25">
      <c r="C334" s="12"/>
    </row>
    <row r="335" spans="3:3" s="4" customFormat="1" hidden="1" x14ac:dyDescent="0.25">
      <c r="C335" s="12"/>
    </row>
    <row r="336" spans="3:3" s="4" customFormat="1" hidden="1" x14ac:dyDescent="0.25">
      <c r="C336" s="12"/>
    </row>
    <row r="337" spans="3:3" s="4" customFormat="1" hidden="1" x14ac:dyDescent="0.25">
      <c r="C337" s="12"/>
    </row>
    <row r="338" spans="3:3" s="4" customFormat="1" hidden="1" x14ac:dyDescent="0.25">
      <c r="C338" s="12"/>
    </row>
    <row r="339" spans="3:3" s="4" customFormat="1" hidden="1" x14ac:dyDescent="0.25">
      <c r="C339" s="12"/>
    </row>
    <row r="340" spans="3:3" s="4" customFormat="1" hidden="1" x14ac:dyDescent="0.25">
      <c r="C340" s="12"/>
    </row>
    <row r="341" spans="3:3" s="4" customFormat="1" hidden="1" x14ac:dyDescent="0.25">
      <c r="C341" s="12"/>
    </row>
    <row r="342" spans="3:3" s="4" customFormat="1" hidden="1" x14ac:dyDescent="0.25">
      <c r="C342" s="12"/>
    </row>
    <row r="343" spans="3:3" s="4" customFormat="1" hidden="1" x14ac:dyDescent="0.25">
      <c r="C343" s="12"/>
    </row>
    <row r="344" spans="3:3" s="4" customFormat="1" hidden="1" x14ac:dyDescent="0.25">
      <c r="C344" s="12"/>
    </row>
    <row r="345" spans="3:3" s="4" customFormat="1" hidden="1" x14ac:dyDescent="0.25">
      <c r="C345" s="12"/>
    </row>
    <row r="346" spans="3:3" s="4" customFormat="1" hidden="1" x14ac:dyDescent="0.25">
      <c r="C346" s="12"/>
    </row>
    <row r="347" spans="3:3" s="4" customFormat="1" hidden="1" x14ac:dyDescent="0.25">
      <c r="C347" s="12"/>
    </row>
    <row r="348" spans="3:3" s="4" customFormat="1" hidden="1" x14ac:dyDescent="0.25">
      <c r="C348" s="12"/>
    </row>
    <row r="349" spans="3:3" s="4" customFormat="1" hidden="1" x14ac:dyDescent="0.25">
      <c r="C349" s="12"/>
    </row>
    <row r="350" spans="3:3" s="4" customFormat="1" hidden="1" x14ac:dyDescent="0.25">
      <c r="C350" s="12"/>
    </row>
    <row r="351" spans="3:3" s="4" customFormat="1" hidden="1" x14ac:dyDescent="0.25">
      <c r="C351" s="12"/>
    </row>
    <row r="352" spans="3:3" s="4" customFormat="1" hidden="1" x14ac:dyDescent="0.25">
      <c r="C352" s="12"/>
    </row>
    <row r="353" spans="3:3" s="4" customFormat="1" hidden="1" x14ac:dyDescent="0.25">
      <c r="C353" s="12"/>
    </row>
    <row r="354" spans="3:3" s="4" customFormat="1" hidden="1" x14ac:dyDescent="0.25">
      <c r="C354" s="12"/>
    </row>
    <row r="355" spans="3:3" s="4" customFormat="1" hidden="1" x14ac:dyDescent="0.25">
      <c r="C355" s="12"/>
    </row>
    <row r="356" spans="3:3" s="4" customFormat="1" hidden="1" x14ac:dyDescent="0.25">
      <c r="C356" s="12"/>
    </row>
    <row r="357" spans="3:3" s="4" customFormat="1" hidden="1" x14ac:dyDescent="0.25">
      <c r="C357" s="12"/>
    </row>
    <row r="358" spans="3:3" s="4" customFormat="1" hidden="1" x14ac:dyDescent="0.25">
      <c r="C358" s="12"/>
    </row>
    <row r="359" spans="3:3" s="4" customFormat="1" hidden="1" x14ac:dyDescent="0.25">
      <c r="C359" s="12"/>
    </row>
    <row r="360" spans="3:3" s="4" customFormat="1" hidden="1" x14ac:dyDescent="0.25">
      <c r="C360" s="12"/>
    </row>
    <row r="361" spans="3:3" s="4" customFormat="1" hidden="1" x14ac:dyDescent="0.25">
      <c r="C361" s="12"/>
    </row>
    <row r="362" spans="3:3" s="4" customFormat="1" hidden="1" x14ac:dyDescent="0.25">
      <c r="C362" s="12"/>
    </row>
    <row r="363" spans="3:3" s="4" customFormat="1" hidden="1" x14ac:dyDescent="0.25">
      <c r="C363" s="12"/>
    </row>
    <row r="364" spans="3:3" s="4" customFormat="1" hidden="1" x14ac:dyDescent="0.25">
      <c r="C364" s="12"/>
    </row>
    <row r="365" spans="3:3" s="4" customFormat="1" hidden="1" x14ac:dyDescent="0.25">
      <c r="C365" s="12"/>
    </row>
    <row r="366" spans="3:3" s="4" customFormat="1" hidden="1" x14ac:dyDescent="0.25">
      <c r="C366" s="12"/>
    </row>
    <row r="367" spans="3:3" s="4" customFormat="1" hidden="1" x14ac:dyDescent="0.25">
      <c r="C367" s="12"/>
    </row>
    <row r="368" spans="3:3" s="4" customFormat="1" hidden="1" x14ac:dyDescent="0.25">
      <c r="C368" s="12"/>
    </row>
    <row r="369" spans="3:3" s="4" customFormat="1" hidden="1" x14ac:dyDescent="0.25">
      <c r="C369" s="12"/>
    </row>
    <row r="370" spans="3:3" s="4" customFormat="1" hidden="1" x14ac:dyDescent="0.25">
      <c r="C370" s="12"/>
    </row>
    <row r="371" spans="3:3" s="4" customFormat="1" hidden="1" x14ac:dyDescent="0.25">
      <c r="C371" s="12"/>
    </row>
    <row r="372" spans="3:3" s="4" customFormat="1" hidden="1" x14ac:dyDescent="0.25">
      <c r="C372" s="12"/>
    </row>
    <row r="373" spans="3:3" s="4" customFormat="1" hidden="1" x14ac:dyDescent="0.25">
      <c r="C373" s="12"/>
    </row>
    <row r="374" spans="3:3" s="4" customFormat="1" hidden="1" x14ac:dyDescent="0.25">
      <c r="C374" s="12"/>
    </row>
    <row r="375" spans="3:3" s="4" customFormat="1" hidden="1" x14ac:dyDescent="0.25">
      <c r="C375" s="12"/>
    </row>
    <row r="376" spans="3:3" s="4" customFormat="1" hidden="1" x14ac:dyDescent="0.25">
      <c r="C376" s="12"/>
    </row>
    <row r="377" spans="3:3" s="4" customFormat="1" hidden="1" x14ac:dyDescent="0.25">
      <c r="C377" s="12"/>
    </row>
    <row r="378" spans="3:3" s="4" customFormat="1" hidden="1" x14ac:dyDescent="0.25">
      <c r="C378" s="12"/>
    </row>
    <row r="379" spans="3:3" s="4" customFormat="1" hidden="1" x14ac:dyDescent="0.25">
      <c r="C379" s="12"/>
    </row>
    <row r="380" spans="3:3" s="4" customFormat="1" hidden="1" x14ac:dyDescent="0.25">
      <c r="C380" s="12"/>
    </row>
    <row r="381" spans="3:3" s="4" customFormat="1" hidden="1" x14ac:dyDescent="0.25">
      <c r="C381" s="12"/>
    </row>
    <row r="382" spans="3:3" s="4" customFormat="1" hidden="1" x14ac:dyDescent="0.25">
      <c r="C382" s="12"/>
    </row>
    <row r="383" spans="3:3" s="4" customFormat="1" hidden="1" x14ac:dyDescent="0.25">
      <c r="C383" s="12"/>
    </row>
    <row r="384" spans="3:3" s="4" customFormat="1" hidden="1" x14ac:dyDescent="0.25">
      <c r="C384" s="12"/>
    </row>
    <row r="385" spans="3:3" s="4" customFormat="1" hidden="1" x14ac:dyDescent="0.25">
      <c r="C385" s="12"/>
    </row>
    <row r="386" spans="3:3" s="4" customFormat="1" hidden="1" x14ac:dyDescent="0.25">
      <c r="C386" s="12"/>
    </row>
    <row r="387" spans="3:3" s="4" customFormat="1" hidden="1" x14ac:dyDescent="0.25">
      <c r="C387" s="12"/>
    </row>
    <row r="388" spans="3:3" s="4" customFormat="1" hidden="1" x14ac:dyDescent="0.25">
      <c r="C388" s="12"/>
    </row>
    <row r="389" spans="3:3" s="4" customFormat="1" hidden="1" x14ac:dyDescent="0.25">
      <c r="C389" s="12"/>
    </row>
  </sheetData>
  <autoFilter ref="C1:C389" xr:uid="{779EB494-6A70-438D-8E4B-6A1437607D3E}">
    <filterColumn colId="0">
      <filters>
        <filter val="21"/>
        <filter val="23"/>
        <filter val="26"/>
        <filter val="27"/>
        <filter val="28"/>
        <filter val="29"/>
        <filter val="30"/>
        <filter val="32"/>
        <filter val="33"/>
        <filter val="34"/>
        <filter val="35"/>
        <filter val="36"/>
        <filter val="37"/>
        <filter val="39"/>
        <filter val="40"/>
        <filter val="41"/>
        <filter val="42"/>
        <filter val="44"/>
        <filter val="45"/>
        <filter val="47"/>
        <filter val="49"/>
        <filter val="50"/>
        <filter val="53"/>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0962E-4FA8-413F-8A6D-ECB55DBFD05C}">
  <dimension ref="A1:P104"/>
  <sheetViews>
    <sheetView tabSelected="1" topLeftCell="A4" workbookViewId="0">
      <selection activeCell="D7" sqref="D7:I23"/>
    </sheetView>
  </sheetViews>
  <sheetFormatPr defaultRowHeight="15" x14ac:dyDescent="0.25"/>
  <cols>
    <col min="1" max="1" width="29.140625" bestFit="1" customWidth="1"/>
    <col min="2" max="2" width="16" bestFit="1" customWidth="1"/>
    <col min="4" max="4" width="17.5703125" bestFit="1" customWidth="1"/>
    <col min="5" max="5" width="24.42578125" bestFit="1" customWidth="1"/>
    <col min="6" max="6" width="18.7109375" bestFit="1" customWidth="1"/>
    <col min="9" max="9" width="9.140625" style="4"/>
    <col min="10" max="10" width="10" style="4" customWidth="1"/>
    <col min="11" max="16" width="9.140625" style="4"/>
  </cols>
  <sheetData>
    <row r="1" spans="1:11" ht="21" thickTop="1" thickBot="1" x14ac:dyDescent="0.45">
      <c r="A1" s="1" t="s">
        <v>6</v>
      </c>
      <c r="B1" s="14">
        <f>SQRT(_xlfn.VAR.S(Sample!A2:A251))</f>
        <v>6.8066822824911704</v>
      </c>
      <c r="C1" s="4"/>
      <c r="D1" s="22" t="s">
        <v>24</v>
      </c>
      <c r="E1" s="23"/>
      <c r="F1" s="23"/>
      <c r="G1" s="23"/>
      <c r="H1" s="23"/>
      <c r="I1" s="24"/>
    </row>
    <row r="2" spans="1:11" ht="21" customHeight="1" thickTop="1" thickBot="1" x14ac:dyDescent="0.45">
      <c r="A2" s="1" t="s">
        <v>7</v>
      </c>
      <c r="B2" s="15">
        <f>AVERAGE(Sample!C4:C247)</f>
        <v>36.75</v>
      </c>
      <c r="C2" s="4"/>
      <c r="D2" s="25"/>
      <c r="E2" s="26"/>
      <c r="F2" s="26"/>
      <c r="G2" s="26"/>
      <c r="H2" s="26"/>
      <c r="I2" s="27"/>
    </row>
    <row r="3" spans="1:11" ht="21" thickTop="1" thickBot="1" x14ac:dyDescent="0.45">
      <c r="A3" s="1" t="s">
        <v>8</v>
      </c>
      <c r="B3" s="14">
        <f>COUNT(Sample!C4:C247)</f>
        <v>56</v>
      </c>
      <c r="C3" s="4"/>
      <c r="D3" s="25"/>
      <c r="E3" s="26"/>
      <c r="F3" s="26"/>
      <c r="G3" s="26"/>
      <c r="H3" s="26"/>
      <c r="I3" s="27"/>
    </row>
    <row r="4" spans="1:11" ht="21" thickTop="1" thickBot="1" x14ac:dyDescent="0.45">
      <c r="A4" s="1" t="s">
        <v>9</v>
      </c>
      <c r="B4" s="14">
        <v>0.05</v>
      </c>
      <c r="C4" s="4"/>
      <c r="D4" s="25"/>
      <c r="E4" s="26"/>
      <c r="F4" s="26"/>
      <c r="G4" s="26"/>
      <c r="H4" s="26"/>
      <c r="I4" s="27"/>
    </row>
    <row r="5" spans="1:11" ht="21" thickTop="1" thickBot="1" x14ac:dyDescent="0.45">
      <c r="A5" s="1" t="s">
        <v>10</v>
      </c>
      <c r="B5" s="20">
        <f>_xlfn.NORM.S.INV(0.975)</f>
        <v>1.9599639845400536</v>
      </c>
      <c r="C5" s="4"/>
      <c r="D5" s="25"/>
      <c r="E5" s="26"/>
      <c r="F5" s="26"/>
      <c r="G5" s="26"/>
      <c r="H5" s="26"/>
      <c r="I5" s="27"/>
    </row>
    <row r="6" spans="1:11" ht="21" thickTop="1" thickBot="1" x14ac:dyDescent="0.45">
      <c r="A6" s="1" t="s">
        <v>11</v>
      </c>
      <c r="B6" s="14">
        <f>B2-B5*(B1/SQRT(B3))</f>
        <v>34.96725364606511</v>
      </c>
      <c r="C6" s="21">
        <f>B2+B5*(B1/SQRT(B3))</f>
        <v>38.53274635393489</v>
      </c>
      <c r="D6" s="28"/>
      <c r="E6" s="29"/>
      <c r="F6" s="29"/>
      <c r="G6" s="29"/>
      <c r="H6" s="29"/>
      <c r="I6" s="30"/>
    </row>
    <row r="7" spans="1:11" s="4" customFormat="1" ht="15.75" customHeight="1" thickTop="1" x14ac:dyDescent="0.25">
      <c r="D7" s="31" t="s">
        <v>28</v>
      </c>
      <c r="E7" s="32"/>
      <c r="F7" s="32"/>
      <c r="G7" s="32"/>
      <c r="H7" s="32"/>
      <c r="I7" s="33"/>
    </row>
    <row r="8" spans="1:11" s="4" customFormat="1" x14ac:dyDescent="0.25">
      <c r="D8" s="34"/>
      <c r="E8" s="40"/>
      <c r="F8" s="40"/>
      <c r="G8" s="40"/>
      <c r="H8" s="40"/>
      <c r="I8" s="36"/>
    </row>
    <row r="9" spans="1:11" s="4" customFormat="1" x14ac:dyDescent="0.25">
      <c r="D9" s="34"/>
      <c r="E9" s="40"/>
      <c r="F9" s="40"/>
      <c r="G9" s="40"/>
      <c r="H9" s="40"/>
      <c r="I9" s="36"/>
    </row>
    <row r="10" spans="1:11" s="4" customFormat="1" x14ac:dyDescent="0.25">
      <c r="D10" s="34"/>
      <c r="E10" s="40"/>
      <c r="F10" s="40"/>
      <c r="G10" s="40"/>
      <c r="H10" s="40"/>
      <c r="I10" s="36"/>
    </row>
    <row r="11" spans="1:11" s="4" customFormat="1" x14ac:dyDescent="0.25">
      <c r="D11" s="34"/>
      <c r="E11" s="40"/>
      <c r="F11" s="40"/>
      <c r="G11" s="40"/>
      <c r="H11" s="40"/>
      <c r="I11" s="36"/>
    </row>
    <row r="12" spans="1:11" s="4" customFormat="1" ht="30" x14ac:dyDescent="0.25">
      <c r="A12" s="43" t="s">
        <v>27</v>
      </c>
      <c r="B12" s="44" t="s">
        <v>26</v>
      </c>
      <c r="D12" s="34"/>
      <c r="E12" s="40"/>
      <c r="F12" s="40"/>
      <c r="G12" s="40"/>
      <c r="H12" s="40"/>
      <c r="I12" s="36"/>
      <c r="J12" s="43" t="s">
        <v>25</v>
      </c>
      <c r="K12" s="44" t="s">
        <v>26</v>
      </c>
    </row>
    <row r="13" spans="1:11" s="4" customFormat="1" x14ac:dyDescent="0.25">
      <c r="A13" s="41">
        <v>1</v>
      </c>
      <c r="B13" s="41">
        <v>34</v>
      </c>
      <c r="D13" s="34"/>
      <c r="E13" s="40"/>
      <c r="F13" s="40"/>
      <c r="G13" s="40"/>
      <c r="H13" s="40"/>
      <c r="I13" s="36"/>
      <c r="J13" s="8">
        <v>33</v>
      </c>
      <c r="K13" s="42">
        <f>AVERAGE(J13:J22)</f>
        <v>32.1</v>
      </c>
    </row>
    <row r="14" spans="1:11" s="4" customFormat="1" x14ac:dyDescent="0.25">
      <c r="A14" s="41">
        <v>3</v>
      </c>
      <c r="B14" s="41">
        <v>33</v>
      </c>
      <c r="D14" s="34"/>
      <c r="E14" s="40"/>
      <c r="F14" s="40"/>
      <c r="G14" s="40"/>
      <c r="H14" s="40"/>
      <c r="I14" s="36"/>
      <c r="J14" s="16">
        <v>29</v>
      </c>
    </row>
    <row r="15" spans="1:11" s="4" customFormat="1" ht="15" customHeight="1" x14ac:dyDescent="0.25">
      <c r="A15" s="41">
        <v>4</v>
      </c>
      <c r="B15" s="41">
        <v>35</v>
      </c>
      <c r="D15" s="34"/>
      <c r="E15" s="40"/>
      <c r="F15" s="40"/>
      <c r="G15" s="40"/>
      <c r="H15" s="40"/>
      <c r="I15" s="36"/>
      <c r="J15" s="8">
        <v>30</v>
      </c>
    </row>
    <row r="16" spans="1:11" s="4" customFormat="1" x14ac:dyDescent="0.25">
      <c r="D16" s="34"/>
      <c r="E16" s="40"/>
      <c r="F16" s="40"/>
      <c r="G16" s="40"/>
      <c r="H16" s="40"/>
      <c r="I16" s="36"/>
      <c r="J16" s="8">
        <v>39</v>
      </c>
    </row>
    <row r="17" spans="4:10" s="4" customFormat="1" x14ac:dyDescent="0.25">
      <c r="D17" s="34"/>
      <c r="E17" s="40"/>
      <c r="F17" s="40"/>
      <c r="G17" s="40"/>
      <c r="H17" s="40"/>
      <c r="I17" s="36"/>
      <c r="J17" s="8">
        <v>35</v>
      </c>
    </row>
    <row r="18" spans="4:10" s="4" customFormat="1" x14ac:dyDescent="0.25">
      <c r="D18" s="34"/>
      <c r="E18" s="40"/>
      <c r="F18" s="40"/>
      <c r="G18" s="40"/>
      <c r="H18" s="40"/>
      <c r="I18" s="36"/>
      <c r="J18" s="8">
        <v>37</v>
      </c>
    </row>
    <row r="19" spans="4:10" s="4" customFormat="1" x14ac:dyDescent="0.25">
      <c r="D19" s="34"/>
      <c r="E19" s="40"/>
      <c r="F19" s="40"/>
      <c r="G19" s="40"/>
      <c r="H19" s="40"/>
      <c r="I19" s="36"/>
      <c r="J19" s="8">
        <v>32</v>
      </c>
    </row>
    <row r="20" spans="4:10" s="4" customFormat="1" x14ac:dyDescent="0.25">
      <c r="D20" s="34"/>
      <c r="E20" s="40"/>
      <c r="F20" s="40"/>
      <c r="G20" s="40"/>
      <c r="H20" s="40"/>
      <c r="I20" s="36"/>
      <c r="J20" s="8">
        <v>28</v>
      </c>
    </row>
    <row r="21" spans="4:10" s="4" customFormat="1" x14ac:dyDescent="0.25">
      <c r="D21" s="34"/>
      <c r="E21" s="40"/>
      <c r="F21" s="40"/>
      <c r="G21" s="40"/>
      <c r="H21" s="40"/>
      <c r="I21" s="36"/>
      <c r="J21" s="8">
        <v>35</v>
      </c>
    </row>
    <row r="22" spans="4:10" s="4" customFormat="1" x14ac:dyDescent="0.25">
      <c r="D22" s="34"/>
      <c r="E22" s="40"/>
      <c r="F22" s="40"/>
      <c r="G22" s="40"/>
      <c r="H22" s="40"/>
      <c r="I22" s="36"/>
      <c r="J22" s="8">
        <v>23</v>
      </c>
    </row>
    <row r="23" spans="4:10" s="4" customFormat="1" x14ac:dyDescent="0.25">
      <c r="D23" s="37"/>
      <c r="E23" s="38"/>
      <c r="F23" s="38"/>
      <c r="G23" s="38"/>
      <c r="H23" s="38"/>
      <c r="I23" s="39"/>
    </row>
    <row r="24" spans="4:10" s="4" customFormat="1" x14ac:dyDescent="0.25"/>
    <row r="25" spans="4:10" s="4" customFormat="1" x14ac:dyDescent="0.25"/>
    <row r="26" spans="4:10" s="4" customFormat="1" x14ac:dyDescent="0.25"/>
    <row r="27" spans="4:10" s="4" customFormat="1" x14ac:dyDescent="0.25"/>
    <row r="28" spans="4:10" s="4" customFormat="1" x14ac:dyDescent="0.25"/>
    <row r="29" spans="4:10" s="4" customFormat="1" x14ac:dyDescent="0.25"/>
    <row r="30" spans="4:10" s="4" customFormat="1" x14ac:dyDescent="0.25"/>
    <row r="31" spans="4:10" s="4" customFormat="1" x14ac:dyDescent="0.25"/>
    <row r="32" spans="4:10" s="4" customFormat="1" x14ac:dyDescent="0.25"/>
    <row r="33" s="4" customFormat="1" x14ac:dyDescent="0.25"/>
    <row r="34" s="4" customFormat="1" x14ac:dyDescent="0.25"/>
    <row r="35" s="4" customFormat="1" x14ac:dyDescent="0.25"/>
    <row r="36" s="4" customFormat="1" x14ac:dyDescent="0.25"/>
    <row r="37" s="4" customFormat="1" x14ac:dyDescent="0.25"/>
    <row r="38" s="4" customFormat="1" x14ac:dyDescent="0.25"/>
    <row r="39" s="4" customFormat="1" x14ac:dyDescent="0.25"/>
    <row r="40" s="4" customFormat="1" x14ac:dyDescent="0.25"/>
    <row r="41" s="4" customFormat="1" x14ac:dyDescent="0.25"/>
    <row r="42" s="4" customFormat="1" x14ac:dyDescent="0.25"/>
    <row r="43" s="4" customFormat="1" x14ac:dyDescent="0.25"/>
    <row r="44" s="4" customFormat="1" x14ac:dyDescent="0.25"/>
    <row r="45" s="4" customFormat="1" x14ac:dyDescent="0.25"/>
    <row r="46" s="4" customFormat="1" x14ac:dyDescent="0.25"/>
    <row r="47" s="4" customFormat="1" x14ac:dyDescent="0.25"/>
    <row r="48" s="4" customFormat="1" x14ac:dyDescent="0.25"/>
    <row r="49" s="4" customFormat="1" x14ac:dyDescent="0.25"/>
    <row r="50" s="4" customFormat="1" x14ac:dyDescent="0.25"/>
    <row r="51" s="4" customFormat="1" x14ac:dyDescent="0.25"/>
    <row r="52" s="4" customFormat="1" x14ac:dyDescent="0.25"/>
    <row r="53" s="4" customFormat="1" x14ac:dyDescent="0.25"/>
    <row r="54" s="4" customFormat="1" x14ac:dyDescent="0.25"/>
    <row r="55" s="4" customFormat="1" x14ac:dyDescent="0.25"/>
    <row r="56" s="4" customFormat="1" x14ac:dyDescent="0.25"/>
    <row r="57" s="4" customFormat="1" x14ac:dyDescent="0.25"/>
    <row r="58" s="4" customFormat="1" x14ac:dyDescent="0.25"/>
    <row r="59" s="4" customFormat="1" x14ac:dyDescent="0.25"/>
    <row r="60" s="4" customFormat="1" x14ac:dyDescent="0.25"/>
    <row r="61" s="4" customFormat="1" x14ac:dyDescent="0.25"/>
    <row r="62" s="4" customFormat="1" x14ac:dyDescent="0.25"/>
    <row r="63" s="4" customFormat="1" x14ac:dyDescent="0.25"/>
    <row r="64" s="4" customFormat="1" x14ac:dyDescent="0.25"/>
    <row r="65" s="4" customFormat="1" x14ac:dyDescent="0.25"/>
    <row r="66" s="4" customFormat="1" x14ac:dyDescent="0.25"/>
    <row r="67" s="4" customFormat="1" x14ac:dyDescent="0.25"/>
    <row r="68" s="4" customFormat="1" x14ac:dyDescent="0.25"/>
    <row r="69" s="4" customFormat="1" x14ac:dyDescent="0.25"/>
    <row r="70" s="4" customFormat="1" x14ac:dyDescent="0.25"/>
    <row r="71" s="4" customFormat="1" x14ac:dyDescent="0.25"/>
    <row r="72" s="4" customFormat="1" x14ac:dyDescent="0.25"/>
    <row r="73" s="4" customFormat="1" x14ac:dyDescent="0.25"/>
    <row r="74" s="4" customFormat="1" x14ac:dyDescent="0.25"/>
    <row r="75" s="4" customFormat="1" x14ac:dyDescent="0.25"/>
    <row r="76" s="4" customFormat="1" x14ac:dyDescent="0.25"/>
    <row r="77" s="4" customFormat="1" x14ac:dyDescent="0.25"/>
    <row r="78" s="4" customFormat="1" x14ac:dyDescent="0.25"/>
    <row r="79" s="4" customFormat="1" x14ac:dyDescent="0.25"/>
    <row r="80" s="4" customFormat="1" x14ac:dyDescent="0.25"/>
    <row r="81" s="4" customFormat="1" x14ac:dyDescent="0.25"/>
    <row r="82" s="4" customFormat="1" x14ac:dyDescent="0.25"/>
    <row r="83" s="4" customFormat="1" x14ac:dyDescent="0.25"/>
    <row r="84" s="4" customFormat="1" x14ac:dyDescent="0.25"/>
    <row r="85" s="4" customFormat="1" x14ac:dyDescent="0.25"/>
    <row r="86" s="4" customFormat="1" x14ac:dyDescent="0.25"/>
    <row r="87" s="4" customFormat="1" x14ac:dyDescent="0.25"/>
    <row r="88" s="4" customFormat="1" x14ac:dyDescent="0.25"/>
    <row r="89" s="4" customFormat="1" x14ac:dyDescent="0.25"/>
    <row r="90" s="4" customFormat="1" x14ac:dyDescent="0.25"/>
    <row r="91" s="4" customFormat="1" x14ac:dyDescent="0.25"/>
    <row r="92" s="4" customFormat="1" x14ac:dyDescent="0.25"/>
    <row r="93" s="4" customFormat="1" x14ac:dyDescent="0.25"/>
    <row r="94" s="4" customFormat="1" x14ac:dyDescent="0.25"/>
    <row r="95" s="4" customFormat="1" x14ac:dyDescent="0.25"/>
    <row r="96" s="4" customFormat="1" x14ac:dyDescent="0.25"/>
    <row r="97" s="4" customFormat="1" x14ac:dyDescent="0.25"/>
    <row r="98" s="4" customFormat="1" x14ac:dyDescent="0.25"/>
    <row r="99" s="4" customFormat="1" x14ac:dyDescent="0.25"/>
    <row r="100" s="4" customFormat="1" x14ac:dyDescent="0.25"/>
    <row r="101" s="4" customFormat="1" x14ac:dyDescent="0.25"/>
    <row r="102" s="4" customFormat="1" x14ac:dyDescent="0.25"/>
    <row r="103" s="4" customFormat="1" x14ac:dyDescent="0.25"/>
    <row r="104" s="4" customFormat="1" x14ac:dyDescent="0.25"/>
  </sheetData>
  <mergeCells count="2">
    <mergeCell ref="D1:I6"/>
    <mergeCell ref="D7:I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0A7C1-4657-480C-9EB0-32A060546644}">
  <dimension ref="A1:P251"/>
  <sheetViews>
    <sheetView workbookViewId="0">
      <selection activeCell="F16" sqref="F16"/>
    </sheetView>
  </sheetViews>
  <sheetFormatPr defaultRowHeight="15" x14ac:dyDescent="0.25"/>
  <cols>
    <col min="1" max="1" width="14.140625" bestFit="1" customWidth="1"/>
    <col min="2" max="2" width="17.85546875" bestFit="1" customWidth="1"/>
    <col min="3" max="3" width="17.140625" bestFit="1" customWidth="1"/>
    <col min="4" max="6" width="9.140625" style="4"/>
    <col min="7" max="7" width="22.5703125" bestFit="1" customWidth="1"/>
    <col min="9" max="9" width="22.42578125" bestFit="1" customWidth="1"/>
    <col min="10" max="16" width="9.140625" style="4"/>
  </cols>
  <sheetData>
    <row r="1" spans="1:9" ht="21" thickTop="1" thickBot="1" x14ac:dyDescent="0.45">
      <c r="A1" s="1" t="s">
        <v>5</v>
      </c>
      <c r="B1" s="1" t="s">
        <v>12</v>
      </c>
      <c r="C1" s="1" t="s">
        <v>13</v>
      </c>
      <c r="G1" s="4"/>
      <c r="H1" s="4"/>
      <c r="I1" s="4"/>
    </row>
    <row r="2" spans="1:9" ht="15.75" thickTop="1" x14ac:dyDescent="0.25">
      <c r="A2" s="7">
        <v>33</v>
      </c>
      <c r="B2" s="5">
        <v>5</v>
      </c>
      <c r="C2" s="7">
        <f>$H$3*A2+(SQRT(1-($H$3)^2)*B2)</f>
        <v>29.921817604250837</v>
      </c>
      <c r="G2" s="6" t="s">
        <v>14</v>
      </c>
      <c r="H2" s="6">
        <f>PEARSON(A2:A57,B2:B57)</f>
        <v>-6.8288474931203824E-2</v>
      </c>
      <c r="I2" s="6" t="s">
        <v>17</v>
      </c>
    </row>
    <row r="3" spans="1:9" x14ac:dyDescent="0.25">
      <c r="A3" s="8">
        <v>30</v>
      </c>
      <c r="B3" s="6">
        <v>6</v>
      </c>
      <c r="C3" s="8">
        <f t="shared" ref="C3:C57" si="0">$H$3*A3+(SQRT(1-($H$3)^2)*B3)</f>
        <v>28.034181125101004</v>
      </c>
      <c r="G3" s="6" t="s">
        <v>15</v>
      </c>
      <c r="H3" s="6">
        <v>0.82</v>
      </c>
      <c r="I3" s="6"/>
    </row>
    <row r="4" spans="1:9" x14ac:dyDescent="0.25">
      <c r="A4" s="8">
        <v>35</v>
      </c>
      <c r="B4" s="6">
        <v>5</v>
      </c>
      <c r="C4" s="8">
        <f t="shared" si="0"/>
        <v>31.561817604250837</v>
      </c>
      <c r="G4" s="6" t="s">
        <v>16</v>
      </c>
      <c r="H4" s="6">
        <f>PEARSON(A2:A57,C2:C57)</f>
        <v>0.98081827333790994</v>
      </c>
      <c r="I4" s="6" t="s">
        <v>18</v>
      </c>
    </row>
    <row r="5" spans="1:9" x14ac:dyDescent="0.25">
      <c r="A5" s="8">
        <v>23</v>
      </c>
      <c r="B5" s="6">
        <v>7</v>
      </c>
      <c r="C5" s="8">
        <f t="shared" si="0"/>
        <v>22.866544645951173</v>
      </c>
      <c r="G5" s="4"/>
      <c r="H5" s="4"/>
      <c r="I5" s="4"/>
    </row>
    <row r="6" spans="1:9" x14ac:dyDescent="0.25">
      <c r="A6" s="8">
        <v>49</v>
      </c>
      <c r="B6" s="6">
        <v>5</v>
      </c>
      <c r="C6" s="8">
        <f t="shared" si="0"/>
        <v>43.041817604250838</v>
      </c>
      <c r="G6" s="4"/>
      <c r="H6" s="4"/>
      <c r="I6" s="4"/>
    </row>
    <row r="7" spans="1:9" x14ac:dyDescent="0.25">
      <c r="A7" s="8">
        <v>36</v>
      </c>
      <c r="B7" s="6">
        <v>4</v>
      </c>
      <c r="C7" s="8">
        <f t="shared" si="0"/>
        <v>31.80945408340067</v>
      </c>
      <c r="G7" s="4"/>
      <c r="H7" s="4"/>
      <c r="I7" s="4"/>
    </row>
    <row r="8" spans="1:9" x14ac:dyDescent="0.25">
      <c r="A8" s="8">
        <v>50</v>
      </c>
      <c r="B8" s="6">
        <v>2</v>
      </c>
      <c r="C8" s="8">
        <f t="shared" si="0"/>
        <v>42.144727041700335</v>
      </c>
      <c r="G8" s="4"/>
      <c r="H8" s="4"/>
      <c r="I8" s="4"/>
    </row>
    <row r="9" spans="1:9" x14ac:dyDescent="0.25">
      <c r="A9" s="8">
        <v>30</v>
      </c>
      <c r="B9" s="6">
        <v>5</v>
      </c>
      <c r="C9" s="8">
        <f t="shared" si="0"/>
        <v>27.461817604250836</v>
      </c>
      <c r="G9" s="4"/>
      <c r="H9" s="4"/>
      <c r="I9" s="4"/>
    </row>
    <row r="10" spans="1:9" x14ac:dyDescent="0.25">
      <c r="A10" s="8">
        <v>37</v>
      </c>
      <c r="B10" s="6">
        <v>2</v>
      </c>
      <c r="C10" s="8">
        <f t="shared" si="0"/>
        <v>31.484727041700335</v>
      </c>
      <c r="G10" s="4"/>
      <c r="H10" s="4"/>
      <c r="I10" s="4"/>
    </row>
    <row r="11" spans="1:9" x14ac:dyDescent="0.25">
      <c r="A11" s="8">
        <v>39</v>
      </c>
      <c r="B11" s="6">
        <v>4</v>
      </c>
      <c r="C11" s="8">
        <f t="shared" si="0"/>
        <v>34.269454083400667</v>
      </c>
      <c r="G11" s="4"/>
      <c r="H11" s="4"/>
      <c r="I11" s="4"/>
    </row>
    <row r="12" spans="1:9" x14ac:dyDescent="0.25">
      <c r="A12" s="8">
        <v>39</v>
      </c>
      <c r="B12" s="6">
        <v>5</v>
      </c>
      <c r="C12" s="8">
        <f t="shared" si="0"/>
        <v>34.841817604250835</v>
      </c>
      <c r="G12" s="4"/>
      <c r="H12" s="4"/>
      <c r="I12" s="4"/>
    </row>
    <row r="13" spans="1:9" x14ac:dyDescent="0.25">
      <c r="A13" s="8">
        <v>53</v>
      </c>
      <c r="B13" s="6">
        <v>4</v>
      </c>
      <c r="C13" s="8">
        <f t="shared" si="0"/>
        <v>45.749454083400671</v>
      </c>
      <c r="G13" s="4"/>
      <c r="H13" s="4"/>
      <c r="I13" s="4"/>
    </row>
    <row r="14" spans="1:9" x14ac:dyDescent="0.25">
      <c r="A14" s="8">
        <v>26</v>
      </c>
      <c r="B14" s="6">
        <v>1</v>
      </c>
      <c r="C14" s="8">
        <f t="shared" si="0"/>
        <v>21.892363520850168</v>
      </c>
      <c r="G14" s="4"/>
      <c r="H14" s="4"/>
      <c r="I14" s="4"/>
    </row>
    <row r="15" spans="1:9" x14ac:dyDescent="0.25">
      <c r="A15" s="8">
        <v>34</v>
      </c>
      <c r="B15" s="6">
        <v>4</v>
      </c>
      <c r="C15" s="8">
        <f t="shared" si="0"/>
        <v>30.169454083400669</v>
      </c>
      <c r="G15" s="4"/>
      <c r="H15" s="4"/>
      <c r="I15" s="4"/>
    </row>
    <row r="16" spans="1:9" x14ac:dyDescent="0.25">
      <c r="A16" s="8">
        <v>42</v>
      </c>
      <c r="B16" s="6">
        <v>4</v>
      </c>
      <c r="C16" s="8">
        <f t="shared" si="0"/>
        <v>36.729454083400668</v>
      </c>
      <c r="G16" s="4"/>
      <c r="H16" s="4"/>
      <c r="I16" s="4"/>
    </row>
    <row r="17" spans="1:9" x14ac:dyDescent="0.25">
      <c r="A17" s="8">
        <v>37</v>
      </c>
      <c r="B17" s="6">
        <v>7</v>
      </c>
      <c r="C17" s="8">
        <f t="shared" si="0"/>
        <v>34.34654464595117</v>
      </c>
      <c r="G17" s="4"/>
      <c r="H17" s="4"/>
      <c r="I17" s="4"/>
    </row>
    <row r="18" spans="1:9" x14ac:dyDescent="0.25">
      <c r="A18" s="8">
        <v>35</v>
      </c>
      <c r="B18" s="6">
        <v>7</v>
      </c>
      <c r="C18" s="8">
        <f t="shared" si="0"/>
        <v>32.706544645951169</v>
      </c>
      <c r="G18" s="4"/>
      <c r="H18" s="4"/>
      <c r="I18" s="4"/>
    </row>
    <row r="19" spans="1:9" x14ac:dyDescent="0.25">
      <c r="A19" s="8">
        <v>40</v>
      </c>
      <c r="B19" s="6">
        <v>5</v>
      </c>
      <c r="C19" s="8">
        <f t="shared" si="0"/>
        <v>35.661817604250835</v>
      </c>
      <c r="G19" s="4"/>
      <c r="H19" s="4"/>
      <c r="I19" s="4"/>
    </row>
    <row r="20" spans="1:9" x14ac:dyDescent="0.25">
      <c r="A20" s="8">
        <v>33</v>
      </c>
      <c r="B20" s="6">
        <v>2</v>
      </c>
      <c r="C20" s="8">
        <f t="shared" si="0"/>
        <v>28.204727041700334</v>
      </c>
      <c r="G20" s="4"/>
      <c r="H20" s="4"/>
      <c r="I20" s="4"/>
    </row>
    <row r="21" spans="1:9" x14ac:dyDescent="0.25">
      <c r="A21" s="8">
        <v>37</v>
      </c>
      <c r="B21" s="6">
        <v>2</v>
      </c>
      <c r="C21" s="8">
        <f t="shared" si="0"/>
        <v>31.484727041700335</v>
      </c>
      <c r="G21" s="4"/>
      <c r="H21" s="4"/>
      <c r="I21" s="4"/>
    </row>
    <row r="22" spans="1:9" x14ac:dyDescent="0.25">
      <c r="A22" s="8">
        <v>21</v>
      </c>
      <c r="B22" s="6">
        <v>3</v>
      </c>
      <c r="C22" s="8">
        <f t="shared" si="0"/>
        <v>18.937090562550502</v>
      </c>
      <c r="G22" s="4"/>
      <c r="H22" s="4"/>
      <c r="I22" s="4"/>
    </row>
    <row r="23" spans="1:9" x14ac:dyDescent="0.25">
      <c r="A23" s="8">
        <v>40</v>
      </c>
      <c r="B23" s="6">
        <v>7</v>
      </c>
      <c r="C23" s="8">
        <f t="shared" si="0"/>
        <v>36.80654464595117</v>
      </c>
      <c r="G23" s="4"/>
      <c r="H23" s="4"/>
      <c r="I23" s="4"/>
    </row>
    <row r="24" spans="1:9" x14ac:dyDescent="0.25">
      <c r="A24" s="8">
        <v>34</v>
      </c>
      <c r="B24" s="6">
        <v>5</v>
      </c>
      <c r="C24" s="8">
        <f t="shared" si="0"/>
        <v>30.741817604250837</v>
      </c>
      <c r="G24" s="4"/>
      <c r="H24" s="4"/>
      <c r="I24" s="4"/>
    </row>
    <row r="25" spans="1:9" x14ac:dyDescent="0.25">
      <c r="A25" s="8">
        <v>39</v>
      </c>
      <c r="B25" s="6">
        <v>3</v>
      </c>
      <c r="C25" s="8">
        <f t="shared" si="0"/>
        <v>33.6970905625505</v>
      </c>
      <c r="G25" s="4"/>
      <c r="H25" s="4"/>
      <c r="I25" s="4"/>
    </row>
    <row r="26" spans="1:9" x14ac:dyDescent="0.25">
      <c r="A26" s="8">
        <v>36</v>
      </c>
      <c r="B26" s="6">
        <v>7</v>
      </c>
      <c r="C26" s="8">
        <f t="shared" si="0"/>
        <v>33.526544645951169</v>
      </c>
      <c r="G26" s="4"/>
      <c r="H26" s="4"/>
      <c r="I26" s="4"/>
    </row>
    <row r="27" spans="1:9" x14ac:dyDescent="0.25">
      <c r="A27" s="8">
        <v>33</v>
      </c>
      <c r="B27" s="6">
        <v>7</v>
      </c>
      <c r="C27" s="8">
        <f t="shared" si="0"/>
        <v>31.066544645951172</v>
      </c>
      <c r="G27" s="4"/>
      <c r="H27" s="4"/>
      <c r="I27" s="4"/>
    </row>
    <row r="28" spans="1:9" x14ac:dyDescent="0.25">
      <c r="A28" s="8">
        <v>29</v>
      </c>
      <c r="B28" s="6">
        <v>1</v>
      </c>
      <c r="C28" s="8">
        <f t="shared" si="0"/>
        <v>24.352363520850165</v>
      </c>
      <c r="G28" s="4"/>
      <c r="H28" s="4"/>
      <c r="I28" s="4"/>
    </row>
    <row r="29" spans="1:9" x14ac:dyDescent="0.25">
      <c r="A29" s="8">
        <v>41</v>
      </c>
      <c r="B29" s="6">
        <v>3</v>
      </c>
      <c r="C29" s="8">
        <f t="shared" si="0"/>
        <v>35.3370905625505</v>
      </c>
      <c r="G29" s="4"/>
      <c r="H29" s="4"/>
      <c r="I29" s="4"/>
    </row>
    <row r="30" spans="1:9" x14ac:dyDescent="0.25">
      <c r="A30" s="8">
        <v>40</v>
      </c>
      <c r="B30" s="6">
        <v>3</v>
      </c>
      <c r="C30" s="8">
        <f t="shared" si="0"/>
        <v>34.5170905625505</v>
      </c>
      <c r="G30" s="4"/>
      <c r="H30" s="4"/>
      <c r="I30" s="4"/>
    </row>
    <row r="31" spans="1:9" x14ac:dyDescent="0.25">
      <c r="A31" s="8">
        <v>27</v>
      </c>
      <c r="B31" s="6">
        <v>6</v>
      </c>
      <c r="C31" s="8">
        <f t="shared" si="0"/>
        <v>25.574181125101003</v>
      </c>
      <c r="G31" s="4"/>
      <c r="H31" s="4"/>
      <c r="I31" s="4"/>
    </row>
    <row r="32" spans="1:9" x14ac:dyDescent="0.25">
      <c r="A32" s="8">
        <v>45</v>
      </c>
      <c r="B32" s="6">
        <v>2</v>
      </c>
      <c r="C32" s="8">
        <f t="shared" si="0"/>
        <v>38.044727041700334</v>
      </c>
      <c r="G32" s="4"/>
      <c r="H32" s="4"/>
      <c r="I32" s="4"/>
    </row>
    <row r="33" spans="1:9" x14ac:dyDescent="0.25">
      <c r="A33" s="8">
        <v>34</v>
      </c>
      <c r="B33" s="6">
        <v>5</v>
      </c>
      <c r="C33" s="8">
        <f t="shared" si="0"/>
        <v>30.741817604250837</v>
      </c>
      <c r="G33" s="4"/>
      <c r="H33" s="4"/>
      <c r="I33" s="4"/>
    </row>
    <row r="34" spans="1:9" x14ac:dyDescent="0.25">
      <c r="A34" s="8">
        <v>40</v>
      </c>
      <c r="B34" s="6">
        <v>3</v>
      </c>
      <c r="C34" s="8">
        <f t="shared" si="0"/>
        <v>34.5170905625505</v>
      </c>
      <c r="G34" s="4"/>
      <c r="H34" s="4"/>
      <c r="I34" s="4"/>
    </row>
    <row r="35" spans="1:9" x14ac:dyDescent="0.25">
      <c r="A35" s="8">
        <v>45</v>
      </c>
      <c r="B35" s="6">
        <v>6</v>
      </c>
      <c r="C35" s="8">
        <f t="shared" si="0"/>
        <v>40.334181125101004</v>
      </c>
      <c r="G35" s="4"/>
      <c r="H35" s="4"/>
      <c r="I35" s="4"/>
    </row>
    <row r="36" spans="1:9" x14ac:dyDescent="0.25">
      <c r="A36" s="8">
        <v>40</v>
      </c>
      <c r="B36" s="6">
        <v>2</v>
      </c>
      <c r="C36" s="8">
        <f t="shared" si="0"/>
        <v>33.944727041700332</v>
      </c>
      <c r="G36" s="4"/>
      <c r="H36" s="4"/>
      <c r="I36" s="4"/>
    </row>
    <row r="37" spans="1:9" x14ac:dyDescent="0.25">
      <c r="A37" s="8">
        <v>36</v>
      </c>
      <c r="B37" s="6">
        <v>6</v>
      </c>
      <c r="C37" s="8">
        <f t="shared" si="0"/>
        <v>32.954181125101002</v>
      </c>
      <c r="G37" s="4"/>
      <c r="H37" s="4"/>
      <c r="I37" s="4"/>
    </row>
    <row r="38" spans="1:9" x14ac:dyDescent="0.25">
      <c r="A38" s="8">
        <v>27</v>
      </c>
      <c r="B38" s="6">
        <v>1</v>
      </c>
      <c r="C38" s="8">
        <f t="shared" si="0"/>
        <v>22.712363520850165</v>
      </c>
      <c r="G38" s="4"/>
      <c r="H38" s="4"/>
      <c r="I38" s="4"/>
    </row>
    <row r="39" spans="1:9" x14ac:dyDescent="0.25">
      <c r="A39" s="8">
        <v>47</v>
      </c>
      <c r="B39" s="6">
        <v>5</v>
      </c>
      <c r="C39" s="8">
        <f t="shared" si="0"/>
        <v>41.401817604250837</v>
      </c>
      <c r="G39" s="4"/>
      <c r="H39" s="4"/>
      <c r="I39" s="4"/>
    </row>
    <row r="40" spans="1:9" x14ac:dyDescent="0.25">
      <c r="A40" s="8">
        <v>36</v>
      </c>
      <c r="B40" s="6">
        <v>4</v>
      </c>
      <c r="C40" s="8">
        <f t="shared" si="0"/>
        <v>31.80945408340067</v>
      </c>
      <c r="G40" s="4"/>
      <c r="H40" s="4"/>
      <c r="I40" s="4"/>
    </row>
    <row r="41" spans="1:9" x14ac:dyDescent="0.25">
      <c r="A41" s="8">
        <v>32</v>
      </c>
      <c r="B41" s="6">
        <v>7</v>
      </c>
      <c r="C41" s="8">
        <f t="shared" si="0"/>
        <v>30.246544645951172</v>
      </c>
      <c r="G41" s="4"/>
      <c r="H41" s="4"/>
      <c r="I41" s="4"/>
    </row>
    <row r="42" spans="1:9" x14ac:dyDescent="0.25">
      <c r="A42" s="8">
        <v>35</v>
      </c>
      <c r="B42" s="6">
        <v>7</v>
      </c>
      <c r="C42" s="8">
        <f t="shared" si="0"/>
        <v>32.706544645951169</v>
      </c>
      <c r="G42" s="4"/>
      <c r="H42" s="4"/>
      <c r="I42" s="4"/>
    </row>
    <row r="43" spans="1:9" x14ac:dyDescent="0.25">
      <c r="A43" s="8">
        <v>33</v>
      </c>
      <c r="B43" s="6">
        <v>7</v>
      </c>
      <c r="C43" s="8">
        <f t="shared" si="0"/>
        <v>31.066544645951172</v>
      </c>
      <c r="G43" s="4"/>
      <c r="H43" s="4"/>
      <c r="I43" s="4"/>
    </row>
    <row r="44" spans="1:9" x14ac:dyDescent="0.25">
      <c r="A44" s="8">
        <v>34</v>
      </c>
      <c r="B44" s="6">
        <v>6</v>
      </c>
      <c r="C44" s="8">
        <f t="shared" si="0"/>
        <v>31.314181125101005</v>
      </c>
      <c r="G44" s="4"/>
      <c r="H44" s="4"/>
      <c r="I44" s="4"/>
    </row>
    <row r="45" spans="1:9" x14ac:dyDescent="0.25">
      <c r="A45" s="8">
        <v>44</v>
      </c>
      <c r="B45" s="6">
        <v>5</v>
      </c>
      <c r="C45" s="8">
        <f t="shared" si="0"/>
        <v>38.941817604250836</v>
      </c>
      <c r="G45" s="4"/>
      <c r="H45" s="4"/>
      <c r="I45" s="4"/>
    </row>
    <row r="46" spans="1:9" x14ac:dyDescent="0.25">
      <c r="A46" s="8">
        <v>28</v>
      </c>
      <c r="B46" s="6">
        <v>2</v>
      </c>
      <c r="C46" s="8">
        <f t="shared" si="0"/>
        <v>24.104727041700333</v>
      </c>
      <c r="G46" s="4"/>
      <c r="H46" s="4"/>
      <c r="I46" s="4"/>
    </row>
    <row r="47" spans="1:9" x14ac:dyDescent="0.25">
      <c r="A47" s="8">
        <v>26</v>
      </c>
      <c r="B47" s="6">
        <v>3</v>
      </c>
      <c r="C47" s="8">
        <f t="shared" si="0"/>
        <v>23.037090562550503</v>
      </c>
      <c r="G47" s="4"/>
      <c r="H47" s="4"/>
      <c r="I47" s="4"/>
    </row>
    <row r="48" spans="1:9" x14ac:dyDescent="0.25">
      <c r="A48" s="8">
        <v>45</v>
      </c>
      <c r="B48" s="6">
        <v>3</v>
      </c>
      <c r="C48" s="8">
        <f t="shared" si="0"/>
        <v>38.617090562550501</v>
      </c>
      <c r="G48" s="4"/>
      <c r="H48" s="4"/>
      <c r="I48" s="4"/>
    </row>
    <row r="49" spans="1:9" x14ac:dyDescent="0.25">
      <c r="A49" s="8">
        <v>45</v>
      </c>
      <c r="B49" s="6">
        <v>2</v>
      </c>
      <c r="C49" s="8">
        <f t="shared" si="0"/>
        <v>38.044727041700334</v>
      </c>
      <c r="G49" s="4"/>
      <c r="H49" s="4"/>
      <c r="I49" s="4"/>
    </row>
    <row r="50" spans="1:9" x14ac:dyDescent="0.25">
      <c r="A50" s="8">
        <v>33</v>
      </c>
      <c r="B50" s="6">
        <v>5</v>
      </c>
      <c r="C50" s="8">
        <f t="shared" si="0"/>
        <v>29.921817604250837</v>
      </c>
      <c r="G50" s="4"/>
      <c r="H50" s="4"/>
      <c r="I50" s="4"/>
    </row>
    <row r="51" spans="1:9" x14ac:dyDescent="0.25">
      <c r="A51" s="8">
        <v>33</v>
      </c>
      <c r="B51" s="6">
        <v>3</v>
      </c>
      <c r="C51" s="8">
        <f t="shared" si="0"/>
        <v>28.777090562550502</v>
      </c>
      <c r="G51" s="4"/>
      <c r="H51" s="4"/>
      <c r="I51" s="4"/>
    </row>
    <row r="52" spans="1:9" x14ac:dyDescent="0.25">
      <c r="A52" s="8">
        <v>44</v>
      </c>
      <c r="B52" s="6">
        <v>7</v>
      </c>
      <c r="C52" s="8">
        <f t="shared" si="0"/>
        <v>40.086544645951172</v>
      </c>
      <c r="G52" s="4"/>
      <c r="H52" s="4"/>
      <c r="I52" s="4"/>
    </row>
    <row r="53" spans="1:9" x14ac:dyDescent="0.25">
      <c r="A53" s="8">
        <v>42</v>
      </c>
      <c r="B53" s="6">
        <v>7</v>
      </c>
      <c r="C53" s="8">
        <f t="shared" si="0"/>
        <v>38.446544645951171</v>
      </c>
      <c r="G53" s="4"/>
      <c r="H53" s="4"/>
      <c r="I53" s="4"/>
    </row>
    <row r="54" spans="1:9" x14ac:dyDescent="0.25">
      <c r="A54" s="8">
        <v>37</v>
      </c>
      <c r="B54" s="6">
        <v>4</v>
      </c>
      <c r="C54" s="8">
        <f t="shared" si="0"/>
        <v>32.629454083400667</v>
      </c>
      <c r="G54" s="4"/>
      <c r="H54" s="4"/>
      <c r="I54" s="4"/>
    </row>
    <row r="55" spans="1:9" x14ac:dyDescent="0.25">
      <c r="A55" s="8">
        <v>42</v>
      </c>
      <c r="B55" s="6">
        <v>1</v>
      </c>
      <c r="C55" s="8">
        <f t="shared" si="0"/>
        <v>35.012363520850165</v>
      </c>
      <c r="G55" s="4"/>
      <c r="H55" s="4"/>
      <c r="I55" s="4"/>
    </row>
    <row r="56" spans="1:9" x14ac:dyDescent="0.25">
      <c r="A56" s="8">
        <v>47</v>
      </c>
      <c r="B56" s="6">
        <v>2</v>
      </c>
      <c r="C56" s="8">
        <f t="shared" si="0"/>
        <v>39.684727041700334</v>
      </c>
      <c r="G56" s="4"/>
      <c r="H56" s="4"/>
      <c r="I56" s="4"/>
    </row>
    <row r="57" spans="1:9" x14ac:dyDescent="0.25">
      <c r="A57" s="8">
        <v>30</v>
      </c>
      <c r="B57" s="6">
        <v>6</v>
      </c>
      <c r="C57" s="8">
        <f t="shared" si="0"/>
        <v>28.034181125101004</v>
      </c>
      <c r="G57" s="4"/>
      <c r="H57" s="4"/>
      <c r="I57" s="4"/>
    </row>
    <row r="58" spans="1:9" s="4" customFormat="1" x14ac:dyDescent="0.25">
      <c r="A58" s="12"/>
      <c r="C58" s="12"/>
    </row>
    <row r="59" spans="1:9" s="4" customFormat="1" x14ac:dyDescent="0.25">
      <c r="A59" s="12"/>
      <c r="C59" s="12"/>
    </row>
    <row r="60" spans="1:9" s="4" customFormat="1" x14ac:dyDescent="0.25">
      <c r="A60" s="12"/>
      <c r="C60" s="12"/>
    </row>
    <row r="61" spans="1:9" s="4" customFormat="1" x14ac:dyDescent="0.25">
      <c r="A61" s="12"/>
      <c r="C61" s="12"/>
    </row>
    <row r="62" spans="1:9" s="4" customFormat="1" x14ac:dyDescent="0.25">
      <c r="A62" s="12"/>
      <c r="C62" s="12"/>
    </row>
    <row r="63" spans="1:9" s="4" customFormat="1" x14ac:dyDescent="0.25">
      <c r="A63" s="12"/>
      <c r="C63" s="12"/>
    </row>
    <row r="64" spans="1:9" s="4" customFormat="1" x14ac:dyDescent="0.25">
      <c r="A64" s="12"/>
      <c r="C64" s="12"/>
    </row>
    <row r="65" spans="1:3" s="4" customFormat="1" x14ac:dyDescent="0.25">
      <c r="A65" s="12"/>
      <c r="C65" s="12"/>
    </row>
    <row r="66" spans="1:3" s="4" customFormat="1" x14ac:dyDescent="0.25">
      <c r="A66" s="12"/>
      <c r="C66" s="12"/>
    </row>
    <row r="67" spans="1:3" s="4" customFormat="1" x14ac:dyDescent="0.25">
      <c r="A67" s="12"/>
      <c r="C67" s="12"/>
    </row>
    <row r="68" spans="1:3" s="4" customFormat="1" x14ac:dyDescent="0.25">
      <c r="A68" s="12"/>
      <c r="C68" s="12"/>
    </row>
    <row r="69" spans="1:3" s="4" customFormat="1" x14ac:dyDescent="0.25">
      <c r="A69" s="12"/>
      <c r="C69" s="12"/>
    </row>
    <row r="70" spans="1:3" s="4" customFormat="1" x14ac:dyDescent="0.25">
      <c r="A70" s="12"/>
      <c r="C70" s="12"/>
    </row>
    <row r="71" spans="1:3" s="4" customFormat="1" x14ac:dyDescent="0.25">
      <c r="A71" s="12"/>
      <c r="C71" s="12"/>
    </row>
    <row r="72" spans="1:3" s="4" customFormat="1" x14ac:dyDescent="0.25">
      <c r="A72" s="12"/>
      <c r="C72" s="12"/>
    </row>
    <row r="73" spans="1:3" s="4" customFormat="1" x14ac:dyDescent="0.25">
      <c r="A73" s="12"/>
      <c r="C73" s="12"/>
    </row>
    <row r="74" spans="1:3" s="4" customFormat="1" x14ac:dyDescent="0.25">
      <c r="A74" s="12"/>
      <c r="C74" s="12"/>
    </row>
    <row r="75" spans="1:3" s="4" customFormat="1" x14ac:dyDescent="0.25">
      <c r="A75" s="12"/>
      <c r="C75" s="12"/>
    </row>
    <row r="76" spans="1:3" s="4" customFormat="1" x14ac:dyDescent="0.25">
      <c r="A76" s="12"/>
      <c r="C76" s="12"/>
    </row>
    <row r="77" spans="1:3" s="4" customFormat="1" x14ac:dyDescent="0.25">
      <c r="A77" s="12"/>
      <c r="C77" s="12"/>
    </row>
    <row r="78" spans="1:3" s="4" customFormat="1" x14ac:dyDescent="0.25">
      <c r="A78" s="12"/>
      <c r="C78" s="12"/>
    </row>
    <row r="79" spans="1:3" s="4" customFormat="1" x14ac:dyDescent="0.25">
      <c r="A79" s="12"/>
      <c r="C79" s="12"/>
    </row>
    <row r="80" spans="1:3" s="4" customFormat="1" x14ac:dyDescent="0.25">
      <c r="A80" s="12"/>
      <c r="C80" s="12"/>
    </row>
    <row r="81" spans="1:3" s="4" customFormat="1" x14ac:dyDescent="0.25">
      <c r="A81" s="12"/>
      <c r="C81" s="12"/>
    </row>
    <row r="82" spans="1:3" s="4" customFormat="1" x14ac:dyDescent="0.25">
      <c r="A82" s="12"/>
      <c r="C82" s="12"/>
    </row>
    <row r="83" spans="1:3" s="4" customFormat="1" x14ac:dyDescent="0.25">
      <c r="A83" s="12"/>
      <c r="C83" s="12"/>
    </row>
    <row r="84" spans="1:3" s="4" customFormat="1" x14ac:dyDescent="0.25">
      <c r="A84" s="12"/>
      <c r="C84" s="12"/>
    </row>
    <row r="85" spans="1:3" s="4" customFormat="1" x14ac:dyDescent="0.25">
      <c r="A85" s="12"/>
      <c r="C85" s="12"/>
    </row>
    <row r="86" spans="1:3" s="4" customFormat="1" x14ac:dyDescent="0.25">
      <c r="A86" s="12"/>
      <c r="C86" s="12"/>
    </row>
    <row r="87" spans="1:3" s="4" customFormat="1" x14ac:dyDescent="0.25">
      <c r="A87" s="12"/>
      <c r="C87" s="12"/>
    </row>
    <row r="88" spans="1:3" s="4" customFormat="1" x14ac:dyDescent="0.25">
      <c r="A88" s="12"/>
      <c r="C88" s="12"/>
    </row>
    <row r="89" spans="1:3" s="4" customFormat="1" x14ac:dyDescent="0.25">
      <c r="A89" s="12"/>
      <c r="C89" s="12"/>
    </row>
    <row r="90" spans="1:3" s="4" customFormat="1" x14ac:dyDescent="0.25">
      <c r="A90" s="12"/>
      <c r="C90" s="12"/>
    </row>
    <row r="91" spans="1:3" s="4" customFormat="1" x14ac:dyDescent="0.25">
      <c r="A91" s="12"/>
      <c r="C91" s="12"/>
    </row>
    <row r="92" spans="1:3" s="4" customFormat="1" x14ac:dyDescent="0.25">
      <c r="A92" s="12"/>
      <c r="C92" s="12"/>
    </row>
    <row r="93" spans="1:3" s="4" customFormat="1" x14ac:dyDescent="0.25">
      <c r="A93" s="12"/>
      <c r="C93" s="12"/>
    </row>
    <row r="94" spans="1:3" s="4" customFormat="1" x14ac:dyDescent="0.25">
      <c r="A94" s="12"/>
      <c r="C94" s="12"/>
    </row>
    <row r="95" spans="1:3" s="4" customFormat="1" x14ac:dyDescent="0.25">
      <c r="A95" s="12"/>
      <c r="C95" s="12"/>
    </row>
    <row r="96" spans="1:3" s="4" customFormat="1" x14ac:dyDescent="0.25">
      <c r="A96" s="12"/>
      <c r="C96" s="12"/>
    </row>
    <row r="97" spans="1:3" s="4" customFormat="1" x14ac:dyDescent="0.25">
      <c r="A97" s="12"/>
      <c r="C97" s="12"/>
    </row>
    <row r="98" spans="1:3" s="4" customFormat="1" x14ac:dyDescent="0.25">
      <c r="A98" s="12"/>
      <c r="C98" s="12"/>
    </row>
    <row r="99" spans="1:3" s="4" customFormat="1" x14ac:dyDescent="0.25">
      <c r="A99" s="12"/>
      <c r="C99" s="12"/>
    </row>
    <row r="100" spans="1:3" s="4" customFormat="1" x14ac:dyDescent="0.25">
      <c r="A100" s="12"/>
      <c r="C100" s="12"/>
    </row>
    <row r="101" spans="1:3" s="4" customFormat="1" x14ac:dyDescent="0.25">
      <c r="A101" s="12"/>
      <c r="C101" s="12"/>
    </row>
    <row r="102" spans="1:3" s="4" customFormat="1" x14ac:dyDescent="0.25">
      <c r="A102" s="12"/>
      <c r="C102" s="12"/>
    </row>
    <row r="103" spans="1:3" s="4" customFormat="1" x14ac:dyDescent="0.25">
      <c r="A103" s="12"/>
      <c r="C103" s="12"/>
    </row>
    <row r="104" spans="1:3" s="4" customFormat="1" x14ac:dyDescent="0.25">
      <c r="A104" s="12"/>
      <c r="C104" s="12"/>
    </row>
    <row r="105" spans="1:3" s="4" customFormat="1" x14ac:dyDescent="0.25">
      <c r="A105" s="12"/>
      <c r="C105" s="12"/>
    </row>
    <row r="106" spans="1:3" s="4" customFormat="1" x14ac:dyDescent="0.25">
      <c r="A106" s="12"/>
      <c r="C106" s="12"/>
    </row>
    <row r="107" spans="1:3" s="4" customFormat="1" x14ac:dyDescent="0.25">
      <c r="A107" s="12"/>
      <c r="C107" s="12"/>
    </row>
    <row r="108" spans="1:3" s="4" customFormat="1" x14ac:dyDescent="0.25">
      <c r="A108" s="12"/>
      <c r="C108" s="12"/>
    </row>
    <row r="109" spans="1:3" s="4" customFormat="1" x14ac:dyDescent="0.25">
      <c r="A109" s="12"/>
      <c r="C109" s="12"/>
    </row>
    <row r="110" spans="1:3" s="4" customFormat="1" x14ac:dyDescent="0.25">
      <c r="A110" s="12"/>
      <c r="C110" s="12"/>
    </row>
    <row r="111" spans="1:3" s="4" customFormat="1" x14ac:dyDescent="0.25">
      <c r="A111" s="12"/>
      <c r="C111" s="12"/>
    </row>
    <row r="112" spans="1:3" s="4" customFormat="1" x14ac:dyDescent="0.25">
      <c r="A112" s="12"/>
      <c r="C112" s="12"/>
    </row>
    <row r="113" spans="1:3" s="4" customFormat="1" x14ac:dyDescent="0.25">
      <c r="A113" s="12"/>
      <c r="C113" s="12"/>
    </row>
    <row r="114" spans="1:3" s="4" customFormat="1" x14ac:dyDescent="0.25">
      <c r="A114" s="12"/>
      <c r="C114" s="12"/>
    </row>
    <row r="115" spans="1:3" s="4" customFormat="1" x14ac:dyDescent="0.25">
      <c r="A115" s="12"/>
      <c r="C115" s="12"/>
    </row>
    <row r="116" spans="1:3" s="4" customFormat="1" x14ac:dyDescent="0.25">
      <c r="A116" s="12"/>
      <c r="C116" s="12"/>
    </row>
    <row r="117" spans="1:3" s="4" customFormat="1" x14ac:dyDescent="0.25">
      <c r="A117" s="12"/>
      <c r="C117" s="12"/>
    </row>
    <row r="118" spans="1:3" s="4" customFormat="1" x14ac:dyDescent="0.25">
      <c r="A118" s="12"/>
      <c r="C118" s="12"/>
    </row>
    <row r="119" spans="1:3" s="4" customFormat="1" x14ac:dyDescent="0.25">
      <c r="A119" s="12"/>
      <c r="C119" s="12"/>
    </row>
    <row r="120" spans="1:3" s="4" customFormat="1" x14ac:dyDescent="0.25">
      <c r="A120" s="12"/>
      <c r="C120" s="12"/>
    </row>
    <row r="121" spans="1:3" s="4" customFormat="1" x14ac:dyDescent="0.25">
      <c r="A121" s="12"/>
      <c r="C121" s="12"/>
    </row>
    <row r="122" spans="1:3" s="4" customFormat="1" x14ac:dyDescent="0.25">
      <c r="A122" s="12"/>
      <c r="C122" s="12"/>
    </row>
    <row r="123" spans="1:3" s="4" customFormat="1" x14ac:dyDescent="0.25">
      <c r="A123" s="12"/>
      <c r="C123" s="12"/>
    </row>
    <row r="124" spans="1:3" s="4" customFormat="1" x14ac:dyDescent="0.25">
      <c r="A124" s="12"/>
      <c r="C124" s="12"/>
    </row>
    <row r="125" spans="1:3" s="4" customFormat="1" x14ac:dyDescent="0.25">
      <c r="A125" s="12"/>
      <c r="C125" s="12"/>
    </row>
    <row r="126" spans="1:3" s="4" customFormat="1" x14ac:dyDescent="0.25">
      <c r="A126" s="12"/>
      <c r="C126" s="12"/>
    </row>
    <row r="127" spans="1:3" s="4" customFormat="1" x14ac:dyDescent="0.25">
      <c r="A127" s="12"/>
      <c r="C127" s="12"/>
    </row>
    <row r="128" spans="1:3" s="4" customFormat="1" x14ac:dyDescent="0.25">
      <c r="A128" s="12"/>
      <c r="C128" s="12"/>
    </row>
    <row r="129" spans="1:3" s="4" customFormat="1" x14ac:dyDescent="0.25">
      <c r="A129" s="12"/>
      <c r="C129" s="12"/>
    </row>
    <row r="130" spans="1:3" s="4" customFormat="1" x14ac:dyDescent="0.25">
      <c r="A130" s="12"/>
      <c r="C130" s="12"/>
    </row>
    <row r="131" spans="1:3" s="4" customFormat="1" x14ac:dyDescent="0.25">
      <c r="A131" s="12"/>
      <c r="C131" s="12"/>
    </row>
    <row r="132" spans="1:3" s="4" customFormat="1" x14ac:dyDescent="0.25">
      <c r="A132" s="12"/>
      <c r="C132" s="12"/>
    </row>
    <row r="133" spans="1:3" s="4" customFormat="1" x14ac:dyDescent="0.25">
      <c r="A133" s="12"/>
      <c r="C133" s="12"/>
    </row>
    <row r="134" spans="1:3" s="4" customFormat="1" x14ac:dyDescent="0.25">
      <c r="A134" s="12"/>
      <c r="C134" s="12"/>
    </row>
    <row r="135" spans="1:3" s="4" customFormat="1" x14ac:dyDescent="0.25">
      <c r="A135" s="12"/>
      <c r="C135" s="12"/>
    </row>
    <row r="136" spans="1:3" s="4" customFormat="1" x14ac:dyDescent="0.25">
      <c r="A136" s="12"/>
      <c r="C136" s="12"/>
    </row>
    <row r="137" spans="1:3" s="4" customFormat="1" x14ac:dyDescent="0.25">
      <c r="A137" s="12"/>
      <c r="C137" s="12"/>
    </row>
    <row r="138" spans="1:3" s="4" customFormat="1" x14ac:dyDescent="0.25">
      <c r="A138" s="12"/>
      <c r="C138" s="12"/>
    </row>
    <row r="139" spans="1:3" s="4" customFormat="1" x14ac:dyDescent="0.25">
      <c r="A139" s="12"/>
      <c r="C139" s="12"/>
    </row>
    <row r="140" spans="1:3" s="4" customFormat="1" x14ac:dyDescent="0.25">
      <c r="A140" s="12"/>
      <c r="C140" s="12"/>
    </row>
    <row r="141" spans="1:3" s="4" customFormat="1" x14ac:dyDescent="0.25">
      <c r="A141" s="12"/>
      <c r="C141" s="12"/>
    </row>
    <row r="142" spans="1:3" s="4" customFormat="1" x14ac:dyDescent="0.25">
      <c r="A142" s="12"/>
      <c r="C142" s="12"/>
    </row>
    <row r="143" spans="1:3" s="4" customFormat="1" x14ac:dyDescent="0.25">
      <c r="A143" s="12"/>
      <c r="C143" s="12"/>
    </row>
    <row r="144" spans="1:3" s="4" customFormat="1" x14ac:dyDescent="0.25">
      <c r="A144" s="12"/>
      <c r="C144" s="12"/>
    </row>
    <row r="145" spans="1:3" s="4" customFormat="1" x14ac:dyDescent="0.25">
      <c r="A145" s="12"/>
      <c r="C145" s="12"/>
    </row>
    <row r="146" spans="1:3" s="4" customFormat="1" x14ac:dyDescent="0.25">
      <c r="A146" s="12"/>
      <c r="C146" s="12"/>
    </row>
    <row r="147" spans="1:3" s="4" customFormat="1" x14ac:dyDescent="0.25">
      <c r="A147" s="12"/>
      <c r="C147" s="12"/>
    </row>
    <row r="148" spans="1:3" s="4" customFormat="1" x14ac:dyDescent="0.25">
      <c r="A148" s="12"/>
      <c r="C148" s="12"/>
    </row>
    <row r="149" spans="1:3" s="4" customFormat="1" x14ac:dyDescent="0.25">
      <c r="A149" s="12"/>
      <c r="C149" s="12"/>
    </row>
    <row r="150" spans="1:3" s="4" customFormat="1" x14ac:dyDescent="0.25">
      <c r="A150" s="12"/>
      <c r="C150" s="12"/>
    </row>
    <row r="151" spans="1:3" s="4" customFormat="1" x14ac:dyDescent="0.25">
      <c r="A151" s="12"/>
      <c r="C151" s="12"/>
    </row>
    <row r="152" spans="1:3" s="4" customFormat="1" x14ac:dyDescent="0.25">
      <c r="A152" s="12"/>
      <c r="C152" s="12"/>
    </row>
    <row r="153" spans="1:3" s="4" customFormat="1" x14ac:dyDescent="0.25">
      <c r="A153" s="12"/>
      <c r="C153" s="12"/>
    </row>
    <row r="154" spans="1:3" s="4" customFormat="1" x14ac:dyDescent="0.25">
      <c r="A154" s="12"/>
      <c r="C154" s="12"/>
    </row>
    <row r="155" spans="1:3" s="4" customFormat="1" x14ac:dyDescent="0.25">
      <c r="A155" s="12"/>
      <c r="C155" s="12"/>
    </row>
    <row r="156" spans="1:3" s="4" customFormat="1" x14ac:dyDescent="0.25">
      <c r="A156" s="12"/>
      <c r="C156" s="12"/>
    </row>
    <row r="157" spans="1:3" s="4" customFormat="1" x14ac:dyDescent="0.25">
      <c r="A157" s="12"/>
      <c r="C157" s="12"/>
    </row>
    <row r="158" spans="1:3" s="4" customFormat="1" x14ac:dyDescent="0.25">
      <c r="A158" s="12"/>
      <c r="C158" s="12"/>
    </row>
    <row r="159" spans="1:3" s="4" customFormat="1" x14ac:dyDescent="0.25">
      <c r="A159" s="12"/>
      <c r="C159" s="12"/>
    </row>
    <row r="160" spans="1:3" s="4" customFormat="1" x14ac:dyDescent="0.25">
      <c r="A160" s="12"/>
      <c r="C160" s="12"/>
    </row>
    <row r="161" spans="1:3" s="4" customFormat="1" x14ac:dyDescent="0.25">
      <c r="A161" s="12"/>
      <c r="C161" s="12"/>
    </row>
    <row r="162" spans="1:3" s="4" customFormat="1" x14ac:dyDescent="0.25">
      <c r="A162" s="12"/>
      <c r="C162" s="12"/>
    </row>
    <row r="163" spans="1:3" s="4" customFormat="1" x14ac:dyDescent="0.25">
      <c r="A163" s="12"/>
      <c r="C163" s="12"/>
    </row>
    <row r="164" spans="1:3" s="4" customFormat="1" x14ac:dyDescent="0.25">
      <c r="A164" s="12"/>
      <c r="C164" s="12"/>
    </row>
    <row r="165" spans="1:3" s="4" customFormat="1" x14ac:dyDescent="0.25">
      <c r="A165" s="12"/>
      <c r="C165" s="12"/>
    </row>
    <row r="166" spans="1:3" s="4" customFormat="1" x14ac:dyDescent="0.25">
      <c r="A166" s="12"/>
      <c r="C166" s="12"/>
    </row>
    <row r="167" spans="1:3" s="4" customFormat="1" x14ac:dyDescent="0.25">
      <c r="A167" s="12"/>
      <c r="C167" s="12"/>
    </row>
    <row r="168" spans="1:3" s="4" customFormat="1" x14ac:dyDescent="0.25">
      <c r="A168" s="12"/>
      <c r="C168" s="12"/>
    </row>
    <row r="169" spans="1:3" s="4" customFormat="1" x14ac:dyDescent="0.25">
      <c r="A169" s="12"/>
      <c r="C169" s="12"/>
    </row>
    <row r="170" spans="1:3" s="4" customFormat="1" x14ac:dyDescent="0.25">
      <c r="A170" s="12"/>
      <c r="C170" s="12"/>
    </row>
    <row r="171" spans="1:3" s="4" customFormat="1" x14ac:dyDescent="0.25">
      <c r="A171" s="12"/>
      <c r="C171" s="12"/>
    </row>
    <row r="172" spans="1:3" s="4" customFormat="1" x14ac:dyDescent="0.25">
      <c r="A172" s="12"/>
      <c r="C172" s="12"/>
    </row>
    <row r="173" spans="1:3" s="4" customFormat="1" x14ac:dyDescent="0.25">
      <c r="A173" s="12"/>
      <c r="C173" s="12"/>
    </row>
    <row r="174" spans="1:3" s="4" customFormat="1" x14ac:dyDescent="0.25">
      <c r="A174" s="12"/>
      <c r="C174" s="12"/>
    </row>
    <row r="175" spans="1:3" s="4" customFormat="1" x14ac:dyDescent="0.25">
      <c r="A175" s="12"/>
      <c r="C175" s="12"/>
    </row>
    <row r="176" spans="1:3" s="4" customFormat="1" x14ac:dyDescent="0.25">
      <c r="A176" s="12"/>
      <c r="C176" s="12"/>
    </row>
    <row r="177" spans="1:3" s="4" customFormat="1" x14ac:dyDescent="0.25">
      <c r="A177" s="12"/>
      <c r="C177" s="12"/>
    </row>
    <row r="178" spans="1:3" s="4" customFormat="1" x14ac:dyDescent="0.25">
      <c r="A178" s="12"/>
      <c r="C178" s="12"/>
    </row>
    <row r="179" spans="1:3" s="4" customFormat="1" x14ac:dyDescent="0.25">
      <c r="A179" s="12"/>
      <c r="C179" s="12"/>
    </row>
    <row r="180" spans="1:3" s="4" customFormat="1" x14ac:dyDescent="0.25">
      <c r="A180" s="12"/>
      <c r="C180" s="12"/>
    </row>
    <row r="181" spans="1:3" s="4" customFormat="1" x14ac:dyDescent="0.25">
      <c r="A181" s="12"/>
      <c r="C181" s="12"/>
    </row>
    <row r="182" spans="1:3" s="4" customFormat="1" x14ac:dyDescent="0.25">
      <c r="A182" s="12"/>
      <c r="C182" s="12"/>
    </row>
    <row r="183" spans="1:3" s="4" customFormat="1" x14ac:dyDescent="0.25">
      <c r="A183" s="12"/>
      <c r="C183" s="12"/>
    </row>
    <row r="184" spans="1:3" s="4" customFormat="1" x14ac:dyDescent="0.25">
      <c r="A184" s="12"/>
      <c r="C184" s="12"/>
    </row>
    <row r="185" spans="1:3" s="4" customFormat="1" x14ac:dyDescent="0.25">
      <c r="A185" s="12"/>
      <c r="C185" s="12"/>
    </row>
    <row r="186" spans="1:3" s="4" customFormat="1" x14ac:dyDescent="0.25">
      <c r="A186" s="12"/>
      <c r="C186" s="12"/>
    </row>
    <row r="187" spans="1:3" s="4" customFormat="1" x14ac:dyDescent="0.25">
      <c r="A187" s="12"/>
      <c r="C187" s="12"/>
    </row>
    <row r="188" spans="1:3" s="4" customFormat="1" x14ac:dyDescent="0.25">
      <c r="A188" s="12"/>
      <c r="C188" s="12"/>
    </row>
    <row r="189" spans="1:3" s="4" customFormat="1" x14ac:dyDescent="0.25">
      <c r="A189" s="12"/>
      <c r="C189" s="12"/>
    </row>
    <row r="190" spans="1:3" s="4" customFormat="1" x14ac:dyDescent="0.25">
      <c r="A190" s="12"/>
      <c r="C190" s="12"/>
    </row>
    <row r="191" spans="1:3" s="4" customFormat="1" x14ac:dyDescent="0.25">
      <c r="A191" s="12"/>
      <c r="C191" s="12"/>
    </row>
    <row r="192" spans="1:3" s="4" customFormat="1" x14ac:dyDescent="0.25">
      <c r="A192" s="12"/>
      <c r="C192" s="12"/>
    </row>
    <row r="193" spans="1:3" s="4" customFormat="1" x14ac:dyDescent="0.25">
      <c r="A193" s="12"/>
      <c r="C193" s="12"/>
    </row>
    <row r="194" spans="1:3" s="4" customFormat="1" x14ac:dyDescent="0.25">
      <c r="A194" s="12"/>
      <c r="C194" s="12"/>
    </row>
    <row r="195" spans="1:3" s="4" customFormat="1" x14ac:dyDescent="0.25">
      <c r="A195" s="12"/>
      <c r="C195" s="12"/>
    </row>
    <row r="196" spans="1:3" s="4" customFormat="1" x14ac:dyDescent="0.25">
      <c r="A196" s="12"/>
      <c r="C196" s="12"/>
    </row>
    <row r="197" spans="1:3" s="4" customFormat="1" x14ac:dyDescent="0.25">
      <c r="A197" s="12"/>
      <c r="C197" s="12"/>
    </row>
    <row r="198" spans="1:3" s="4" customFormat="1" x14ac:dyDescent="0.25">
      <c r="A198" s="12"/>
      <c r="C198" s="12"/>
    </row>
    <row r="199" spans="1:3" s="4" customFormat="1" x14ac:dyDescent="0.25">
      <c r="A199" s="12"/>
      <c r="C199" s="12"/>
    </row>
    <row r="200" spans="1:3" s="4" customFormat="1" x14ac:dyDescent="0.25">
      <c r="A200" s="12"/>
      <c r="C200" s="12"/>
    </row>
    <row r="201" spans="1:3" s="4" customFormat="1" x14ac:dyDescent="0.25">
      <c r="A201" s="12"/>
      <c r="C201" s="12"/>
    </row>
    <row r="202" spans="1:3" s="4" customFormat="1" x14ac:dyDescent="0.25">
      <c r="A202" s="12"/>
      <c r="C202" s="12"/>
    </row>
    <row r="203" spans="1:3" s="4" customFormat="1" x14ac:dyDescent="0.25">
      <c r="A203" s="12"/>
      <c r="C203" s="12"/>
    </row>
    <row r="204" spans="1:3" s="4" customFormat="1" x14ac:dyDescent="0.25">
      <c r="A204" s="12"/>
      <c r="C204" s="12"/>
    </row>
    <row r="205" spans="1:3" s="4" customFormat="1" x14ac:dyDescent="0.25">
      <c r="A205" s="12"/>
      <c r="C205" s="12"/>
    </row>
    <row r="206" spans="1:3" s="4" customFormat="1" x14ac:dyDescent="0.25">
      <c r="A206" s="12"/>
      <c r="C206" s="12"/>
    </row>
    <row r="207" spans="1:3" s="4" customFormat="1" x14ac:dyDescent="0.25">
      <c r="A207" s="12"/>
      <c r="C207" s="12"/>
    </row>
    <row r="208" spans="1:3" s="4" customFormat="1" x14ac:dyDescent="0.25">
      <c r="A208" s="12"/>
      <c r="C208" s="12"/>
    </row>
    <row r="209" spans="1:3" s="4" customFormat="1" x14ac:dyDescent="0.25">
      <c r="A209" s="12"/>
      <c r="C209" s="12"/>
    </row>
    <row r="210" spans="1:3" s="4" customFormat="1" x14ac:dyDescent="0.25">
      <c r="A210" s="12"/>
      <c r="C210" s="12"/>
    </row>
    <row r="211" spans="1:3" s="4" customFormat="1" x14ac:dyDescent="0.25">
      <c r="A211" s="12"/>
      <c r="C211" s="12"/>
    </row>
    <row r="212" spans="1:3" s="4" customFormat="1" x14ac:dyDescent="0.25">
      <c r="A212" s="12"/>
      <c r="C212" s="12"/>
    </row>
    <row r="213" spans="1:3" s="4" customFormat="1" x14ac:dyDescent="0.25">
      <c r="A213" s="12"/>
      <c r="C213" s="12"/>
    </row>
    <row r="214" spans="1:3" s="4" customFormat="1" x14ac:dyDescent="0.25">
      <c r="A214" s="12"/>
      <c r="C214" s="12"/>
    </row>
    <row r="215" spans="1:3" s="4" customFormat="1" x14ac:dyDescent="0.25">
      <c r="A215" s="12"/>
      <c r="C215" s="12"/>
    </row>
    <row r="216" spans="1:3" s="4" customFormat="1" x14ac:dyDescent="0.25">
      <c r="A216" s="12"/>
      <c r="C216" s="12"/>
    </row>
    <row r="217" spans="1:3" s="4" customFormat="1" x14ac:dyDescent="0.25">
      <c r="A217" s="12"/>
      <c r="C217" s="12"/>
    </row>
    <row r="218" spans="1:3" s="4" customFormat="1" x14ac:dyDescent="0.25">
      <c r="A218" s="12"/>
      <c r="C218" s="12"/>
    </row>
    <row r="219" spans="1:3" s="4" customFormat="1" x14ac:dyDescent="0.25">
      <c r="A219" s="12"/>
      <c r="C219" s="12"/>
    </row>
    <row r="220" spans="1:3" s="4" customFormat="1" x14ac:dyDescent="0.25">
      <c r="A220" s="12"/>
      <c r="C220" s="12"/>
    </row>
    <row r="221" spans="1:3" s="4" customFormat="1" x14ac:dyDescent="0.25">
      <c r="A221" s="12"/>
      <c r="C221" s="12"/>
    </row>
    <row r="222" spans="1:3" s="4" customFormat="1" x14ac:dyDescent="0.25">
      <c r="A222" s="12"/>
      <c r="C222" s="12"/>
    </row>
    <row r="223" spans="1:3" s="4" customFormat="1" x14ac:dyDescent="0.25">
      <c r="A223" s="12"/>
      <c r="C223" s="12"/>
    </row>
    <row r="224" spans="1:3" s="4" customFormat="1" x14ac:dyDescent="0.25">
      <c r="A224" s="12"/>
      <c r="C224" s="12"/>
    </row>
    <row r="225" spans="1:3" s="4" customFormat="1" x14ac:dyDescent="0.25">
      <c r="A225" s="12"/>
      <c r="C225" s="12"/>
    </row>
    <row r="226" spans="1:3" s="4" customFormat="1" x14ac:dyDescent="0.25">
      <c r="A226" s="12"/>
      <c r="C226" s="12"/>
    </row>
    <row r="227" spans="1:3" s="4" customFormat="1" x14ac:dyDescent="0.25">
      <c r="A227" s="12"/>
      <c r="C227" s="12"/>
    </row>
    <row r="228" spans="1:3" s="4" customFormat="1" x14ac:dyDescent="0.25">
      <c r="A228" s="12"/>
      <c r="C228" s="12"/>
    </row>
    <row r="229" spans="1:3" s="4" customFormat="1" x14ac:dyDescent="0.25">
      <c r="A229" s="12"/>
      <c r="C229" s="12"/>
    </row>
    <row r="230" spans="1:3" s="4" customFormat="1" x14ac:dyDescent="0.25">
      <c r="A230" s="12"/>
      <c r="C230" s="12"/>
    </row>
    <row r="231" spans="1:3" s="4" customFormat="1" x14ac:dyDescent="0.25">
      <c r="A231" s="12"/>
      <c r="C231" s="12"/>
    </row>
    <row r="232" spans="1:3" s="4" customFormat="1" x14ac:dyDescent="0.25">
      <c r="A232" s="12"/>
      <c r="C232" s="12"/>
    </row>
    <row r="233" spans="1:3" s="4" customFormat="1" x14ac:dyDescent="0.25">
      <c r="A233" s="12"/>
      <c r="C233" s="12"/>
    </row>
    <row r="234" spans="1:3" s="4" customFormat="1" x14ac:dyDescent="0.25">
      <c r="A234" s="12"/>
      <c r="C234" s="12"/>
    </row>
    <row r="235" spans="1:3" s="4" customFormat="1" x14ac:dyDescent="0.25">
      <c r="A235" s="12"/>
      <c r="C235" s="12"/>
    </row>
    <row r="236" spans="1:3" s="4" customFormat="1" x14ac:dyDescent="0.25">
      <c r="A236" s="12"/>
      <c r="C236" s="12"/>
    </row>
    <row r="237" spans="1:3" s="4" customFormat="1" x14ac:dyDescent="0.25">
      <c r="A237" s="12"/>
      <c r="C237" s="12"/>
    </row>
    <row r="238" spans="1:3" s="4" customFormat="1" x14ac:dyDescent="0.25">
      <c r="A238" s="12"/>
      <c r="C238" s="12"/>
    </row>
    <row r="239" spans="1:3" s="4" customFormat="1" x14ac:dyDescent="0.25">
      <c r="A239" s="12"/>
      <c r="C239" s="12"/>
    </row>
    <row r="240" spans="1:3" s="4" customFormat="1" x14ac:dyDescent="0.25">
      <c r="A240" s="12"/>
      <c r="C240" s="12"/>
    </row>
    <row r="241" spans="1:3" s="4" customFormat="1" x14ac:dyDescent="0.25">
      <c r="A241" s="12"/>
      <c r="C241" s="12"/>
    </row>
    <row r="242" spans="1:3" s="4" customFormat="1" x14ac:dyDescent="0.25">
      <c r="A242" s="12"/>
      <c r="C242" s="12"/>
    </row>
    <row r="243" spans="1:3" s="4" customFormat="1" x14ac:dyDescent="0.25">
      <c r="A243" s="12"/>
      <c r="C243" s="12"/>
    </row>
    <row r="244" spans="1:3" s="4" customFormat="1" x14ac:dyDescent="0.25">
      <c r="A244" s="12"/>
      <c r="C244" s="12"/>
    </row>
    <row r="245" spans="1:3" s="4" customFormat="1" x14ac:dyDescent="0.25">
      <c r="A245" s="12"/>
      <c r="C245" s="12"/>
    </row>
    <row r="246" spans="1:3" s="4" customFormat="1" x14ac:dyDescent="0.25">
      <c r="A246" s="12"/>
      <c r="C246" s="12"/>
    </row>
    <row r="247" spans="1:3" s="4" customFormat="1" x14ac:dyDescent="0.25">
      <c r="A247" s="12"/>
      <c r="C247" s="12"/>
    </row>
    <row r="248" spans="1:3" s="4" customFormat="1" x14ac:dyDescent="0.25">
      <c r="A248" s="12"/>
      <c r="C248" s="12"/>
    </row>
    <row r="249" spans="1:3" s="4" customFormat="1" x14ac:dyDescent="0.25">
      <c r="A249" s="12"/>
      <c r="C249" s="12"/>
    </row>
    <row r="250" spans="1:3" s="4" customFormat="1" x14ac:dyDescent="0.25">
      <c r="A250" s="12"/>
      <c r="C250" s="12"/>
    </row>
    <row r="251" spans="1:3" x14ac:dyDescent="0.25">
      <c r="A251" s="13"/>
      <c r="C251" s="1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01683-3B98-4CFF-B232-3B971F143946}">
  <dimension ref="A1:R182"/>
  <sheetViews>
    <sheetView workbookViewId="0">
      <selection activeCell="J34" sqref="J34"/>
    </sheetView>
  </sheetViews>
  <sheetFormatPr defaultRowHeight="15" x14ac:dyDescent="0.25"/>
  <cols>
    <col min="1" max="1" width="8.7109375" bestFit="1" customWidth="1"/>
    <col min="2" max="2" width="10.140625" bestFit="1" customWidth="1"/>
    <col min="3" max="3" width="9.140625" style="4"/>
    <col min="4" max="5" width="13.140625" bestFit="1" customWidth="1"/>
    <col min="6" max="6" width="9.28515625" style="4" customWidth="1"/>
    <col min="7" max="18" width="9.140625" style="4"/>
  </cols>
  <sheetData>
    <row r="1" spans="1:5" ht="21" thickTop="1" thickBot="1" x14ac:dyDescent="0.45">
      <c r="A1" s="19" t="s">
        <v>19</v>
      </c>
      <c r="B1" s="19" t="s">
        <v>20</v>
      </c>
      <c r="D1" s="19" t="s">
        <v>21</v>
      </c>
      <c r="E1" s="19" t="s">
        <v>22</v>
      </c>
    </row>
    <row r="2" spans="1:5" ht="15.75" thickTop="1" x14ac:dyDescent="0.25">
      <c r="A2" s="16">
        <v>18.937090562550502</v>
      </c>
      <c r="B2" s="18">
        <v>1</v>
      </c>
      <c r="D2" s="18">
        <v>113</v>
      </c>
      <c r="E2" s="18" cm="1">
        <f t="array" ref="E2:E49">ROUND(_xlfn.FORECAST.LINEAR(D2:D49,A2:A113,B2:B113),0)</f>
        <v>46</v>
      </c>
    </row>
    <row r="3" spans="1:5" x14ac:dyDescent="0.25">
      <c r="A3" s="8">
        <v>21</v>
      </c>
      <c r="B3" s="6">
        <v>2</v>
      </c>
      <c r="D3" s="6">
        <v>114</v>
      </c>
      <c r="E3" s="6">
        <v>46</v>
      </c>
    </row>
    <row r="4" spans="1:5" x14ac:dyDescent="0.25">
      <c r="A4" s="8">
        <v>21.892363520850168</v>
      </c>
      <c r="B4" s="6">
        <v>3</v>
      </c>
      <c r="D4" s="6">
        <v>115</v>
      </c>
      <c r="E4" s="6">
        <v>46</v>
      </c>
    </row>
    <row r="5" spans="1:5" x14ac:dyDescent="0.25">
      <c r="A5" s="8">
        <v>22.712363520850165</v>
      </c>
      <c r="B5" s="6">
        <v>4</v>
      </c>
      <c r="D5" s="6">
        <v>116</v>
      </c>
      <c r="E5" s="6">
        <v>47</v>
      </c>
    </row>
    <row r="6" spans="1:5" x14ac:dyDescent="0.25">
      <c r="A6" s="8">
        <v>22.866544645951173</v>
      </c>
      <c r="B6" s="6">
        <v>5</v>
      </c>
      <c r="D6" s="6">
        <v>117</v>
      </c>
      <c r="E6" s="6">
        <v>47</v>
      </c>
    </row>
    <row r="7" spans="1:5" x14ac:dyDescent="0.25">
      <c r="A7" s="8">
        <v>23</v>
      </c>
      <c r="B7" s="6">
        <v>6</v>
      </c>
      <c r="D7" s="6">
        <v>118</v>
      </c>
      <c r="E7" s="6">
        <v>47</v>
      </c>
    </row>
    <row r="8" spans="1:5" x14ac:dyDescent="0.25">
      <c r="A8" s="8">
        <v>23.037090562550503</v>
      </c>
      <c r="B8" s="6">
        <v>7</v>
      </c>
      <c r="D8" s="6">
        <v>119</v>
      </c>
      <c r="E8" s="6">
        <v>47</v>
      </c>
    </row>
    <row r="9" spans="1:5" x14ac:dyDescent="0.25">
      <c r="A9" s="8">
        <v>24.104727041700333</v>
      </c>
      <c r="B9" s="6">
        <v>8</v>
      </c>
      <c r="D9" s="6">
        <v>120</v>
      </c>
      <c r="E9" s="6">
        <v>47</v>
      </c>
    </row>
    <row r="10" spans="1:5" x14ac:dyDescent="0.25">
      <c r="A10" s="8">
        <v>24.352363520850165</v>
      </c>
      <c r="B10" s="6">
        <v>9</v>
      </c>
      <c r="D10" s="6">
        <v>121</v>
      </c>
      <c r="E10" s="6">
        <v>48</v>
      </c>
    </row>
    <row r="11" spans="1:5" x14ac:dyDescent="0.25">
      <c r="A11" s="8">
        <v>25.574181125101003</v>
      </c>
      <c r="B11" s="6">
        <v>10</v>
      </c>
      <c r="D11" s="6">
        <v>122</v>
      </c>
      <c r="E11" s="6">
        <v>48</v>
      </c>
    </row>
    <row r="12" spans="1:5" x14ac:dyDescent="0.25">
      <c r="A12" s="8">
        <v>26</v>
      </c>
      <c r="B12" s="6">
        <v>11</v>
      </c>
      <c r="D12" s="6">
        <v>123</v>
      </c>
      <c r="E12" s="6">
        <v>48</v>
      </c>
    </row>
    <row r="13" spans="1:5" x14ac:dyDescent="0.25">
      <c r="A13" s="8">
        <v>26</v>
      </c>
      <c r="B13" s="6">
        <v>12</v>
      </c>
      <c r="D13" s="6">
        <v>124</v>
      </c>
      <c r="E13" s="6">
        <v>48</v>
      </c>
    </row>
    <row r="14" spans="1:5" x14ac:dyDescent="0.25">
      <c r="A14" s="8">
        <v>27</v>
      </c>
      <c r="B14" s="6">
        <v>13</v>
      </c>
      <c r="D14" s="6">
        <v>125</v>
      </c>
      <c r="E14" s="6">
        <v>48</v>
      </c>
    </row>
    <row r="15" spans="1:5" x14ac:dyDescent="0.25">
      <c r="A15" s="8">
        <v>27</v>
      </c>
      <c r="B15" s="6">
        <v>14</v>
      </c>
      <c r="D15" s="6">
        <v>126</v>
      </c>
      <c r="E15" s="6">
        <v>49</v>
      </c>
    </row>
    <row r="16" spans="1:5" x14ac:dyDescent="0.25">
      <c r="A16" s="8">
        <v>27.461817604250836</v>
      </c>
      <c r="B16" s="6">
        <v>15</v>
      </c>
      <c r="D16" s="6">
        <v>127</v>
      </c>
      <c r="E16" s="6">
        <v>49</v>
      </c>
    </row>
    <row r="17" spans="1:14" x14ac:dyDescent="0.25">
      <c r="A17" s="8">
        <v>28</v>
      </c>
      <c r="B17" s="6">
        <v>16</v>
      </c>
      <c r="D17" s="6">
        <v>128</v>
      </c>
      <c r="E17" s="6">
        <v>49</v>
      </c>
    </row>
    <row r="18" spans="1:14" ht="15" customHeight="1" x14ac:dyDescent="0.25">
      <c r="A18" s="8">
        <v>28.034181125101004</v>
      </c>
      <c r="B18" s="6">
        <v>17</v>
      </c>
      <c r="D18" s="6">
        <v>129</v>
      </c>
      <c r="E18" s="6">
        <v>49</v>
      </c>
      <c r="G18" s="31" t="s">
        <v>23</v>
      </c>
      <c r="H18" s="32"/>
      <c r="I18" s="32"/>
      <c r="J18" s="32"/>
      <c r="K18" s="32"/>
      <c r="L18" s="32"/>
      <c r="M18" s="32"/>
      <c r="N18" s="33"/>
    </row>
    <row r="19" spans="1:14" x14ac:dyDescent="0.25">
      <c r="A19" s="8">
        <v>28.034181125101004</v>
      </c>
      <c r="B19" s="6">
        <v>18</v>
      </c>
      <c r="D19" s="6">
        <v>130</v>
      </c>
      <c r="E19" s="6">
        <v>49</v>
      </c>
      <c r="G19" s="34"/>
      <c r="H19" s="35"/>
      <c r="I19" s="35"/>
      <c r="J19" s="35"/>
      <c r="K19" s="35"/>
      <c r="L19" s="35"/>
      <c r="M19" s="35"/>
      <c r="N19" s="36"/>
    </row>
    <row r="20" spans="1:14" x14ac:dyDescent="0.25">
      <c r="A20" s="8">
        <v>28.204727041700334</v>
      </c>
      <c r="B20" s="6">
        <v>19</v>
      </c>
      <c r="D20" s="6">
        <v>131</v>
      </c>
      <c r="E20" s="6">
        <v>50</v>
      </c>
      <c r="G20" s="34"/>
      <c r="H20" s="35"/>
      <c r="I20" s="35"/>
      <c r="J20" s="35"/>
      <c r="K20" s="35"/>
      <c r="L20" s="35"/>
      <c r="M20" s="35"/>
      <c r="N20" s="36"/>
    </row>
    <row r="21" spans="1:14" x14ac:dyDescent="0.25">
      <c r="A21" s="8">
        <v>28.777090562550502</v>
      </c>
      <c r="B21" s="6">
        <v>20</v>
      </c>
      <c r="D21" s="6">
        <v>132</v>
      </c>
      <c r="E21" s="6">
        <v>50</v>
      </c>
      <c r="G21" s="34"/>
      <c r="H21" s="35"/>
      <c r="I21" s="35"/>
      <c r="J21" s="35"/>
      <c r="K21" s="35"/>
      <c r="L21" s="35"/>
      <c r="M21" s="35"/>
      <c r="N21" s="36"/>
    </row>
    <row r="22" spans="1:14" x14ac:dyDescent="0.25">
      <c r="A22" s="8">
        <v>29</v>
      </c>
      <c r="B22" s="6">
        <v>21</v>
      </c>
      <c r="D22" s="6">
        <v>133</v>
      </c>
      <c r="E22" s="6">
        <v>50</v>
      </c>
      <c r="G22" s="34"/>
      <c r="H22" s="35"/>
      <c r="I22" s="35"/>
      <c r="J22" s="35"/>
      <c r="K22" s="35"/>
      <c r="L22" s="35"/>
      <c r="M22" s="35"/>
      <c r="N22" s="36"/>
    </row>
    <row r="23" spans="1:14" x14ac:dyDescent="0.25">
      <c r="A23" s="8">
        <v>29.921817604250837</v>
      </c>
      <c r="B23" s="6">
        <v>22</v>
      </c>
      <c r="D23" s="6">
        <v>134</v>
      </c>
      <c r="E23" s="6">
        <v>50</v>
      </c>
      <c r="G23" s="34"/>
      <c r="H23" s="35"/>
      <c r="I23" s="35"/>
      <c r="J23" s="35"/>
      <c r="K23" s="35"/>
      <c r="L23" s="35"/>
      <c r="M23" s="35"/>
      <c r="N23" s="36"/>
    </row>
    <row r="24" spans="1:14" x14ac:dyDescent="0.25">
      <c r="A24" s="8">
        <v>29.921817604250837</v>
      </c>
      <c r="B24" s="6">
        <v>23</v>
      </c>
      <c r="D24" s="6">
        <v>135</v>
      </c>
      <c r="E24" s="6">
        <v>50</v>
      </c>
      <c r="G24" s="34"/>
      <c r="H24" s="35"/>
      <c r="I24" s="35"/>
      <c r="J24" s="35"/>
      <c r="K24" s="35"/>
      <c r="L24" s="35"/>
      <c r="M24" s="35"/>
      <c r="N24" s="36"/>
    </row>
    <row r="25" spans="1:14" x14ac:dyDescent="0.25">
      <c r="A25" s="8">
        <v>30</v>
      </c>
      <c r="B25" s="6">
        <v>24</v>
      </c>
      <c r="D25" s="6">
        <v>136</v>
      </c>
      <c r="E25" s="6">
        <v>51</v>
      </c>
      <c r="G25" s="34"/>
      <c r="H25" s="35"/>
      <c r="I25" s="35"/>
      <c r="J25" s="35"/>
      <c r="K25" s="35"/>
      <c r="L25" s="35"/>
      <c r="M25" s="35"/>
      <c r="N25" s="36"/>
    </row>
    <row r="26" spans="1:14" x14ac:dyDescent="0.25">
      <c r="A26" s="8">
        <v>30</v>
      </c>
      <c r="B26" s="6">
        <v>25</v>
      </c>
      <c r="D26" s="6">
        <v>137</v>
      </c>
      <c r="E26" s="6">
        <v>51</v>
      </c>
      <c r="G26" s="34"/>
      <c r="H26" s="35"/>
      <c r="I26" s="35"/>
      <c r="J26" s="35"/>
      <c r="K26" s="35"/>
      <c r="L26" s="35"/>
      <c r="M26" s="35"/>
      <c r="N26" s="36"/>
    </row>
    <row r="27" spans="1:14" x14ac:dyDescent="0.25">
      <c r="A27" s="8">
        <v>30</v>
      </c>
      <c r="B27" s="6">
        <v>26</v>
      </c>
      <c r="D27" s="6">
        <v>138</v>
      </c>
      <c r="E27" s="6">
        <v>51</v>
      </c>
      <c r="G27" s="34"/>
      <c r="H27" s="35"/>
      <c r="I27" s="35"/>
      <c r="J27" s="35"/>
      <c r="K27" s="35"/>
      <c r="L27" s="35"/>
      <c r="M27" s="35"/>
      <c r="N27" s="36"/>
    </row>
    <row r="28" spans="1:14" x14ac:dyDescent="0.25">
      <c r="A28" s="8">
        <v>30.169454083400669</v>
      </c>
      <c r="B28" s="6">
        <v>27</v>
      </c>
      <c r="D28" s="6">
        <v>139</v>
      </c>
      <c r="E28" s="6">
        <v>51</v>
      </c>
      <c r="G28" s="34"/>
      <c r="H28" s="35"/>
      <c r="I28" s="35"/>
      <c r="J28" s="35"/>
      <c r="K28" s="35"/>
      <c r="L28" s="35"/>
      <c r="M28" s="35"/>
      <c r="N28" s="36"/>
    </row>
    <row r="29" spans="1:14" x14ac:dyDescent="0.25">
      <c r="A29" s="8">
        <v>30.246544645951172</v>
      </c>
      <c r="B29" s="6">
        <v>28</v>
      </c>
      <c r="D29" s="6">
        <v>140</v>
      </c>
      <c r="E29" s="6">
        <v>51</v>
      </c>
      <c r="G29" s="34"/>
      <c r="H29" s="35"/>
      <c r="I29" s="35"/>
      <c r="J29" s="35"/>
      <c r="K29" s="35"/>
      <c r="L29" s="35"/>
      <c r="M29" s="35"/>
      <c r="N29" s="36"/>
    </row>
    <row r="30" spans="1:14" x14ac:dyDescent="0.25">
      <c r="A30" s="8">
        <v>30.741817604250837</v>
      </c>
      <c r="B30" s="6">
        <v>29</v>
      </c>
      <c r="D30" s="6">
        <v>141</v>
      </c>
      <c r="E30" s="6">
        <v>52</v>
      </c>
      <c r="G30" s="34"/>
      <c r="H30" s="35"/>
      <c r="I30" s="35"/>
      <c r="J30" s="35"/>
      <c r="K30" s="35"/>
      <c r="L30" s="35"/>
      <c r="M30" s="35"/>
      <c r="N30" s="36"/>
    </row>
    <row r="31" spans="1:14" x14ac:dyDescent="0.25">
      <c r="A31" s="8">
        <v>30.741817604250837</v>
      </c>
      <c r="B31" s="6">
        <v>30</v>
      </c>
      <c r="D31" s="6">
        <v>142</v>
      </c>
      <c r="E31" s="6">
        <v>52</v>
      </c>
      <c r="G31" s="34"/>
      <c r="H31" s="35"/>
      <c r="I31" s="35"/>
      <c r="J31" s="35"/>
      <c r="K31" s="35"/>
      <c r="L31" s="35"/>
      <c r="M31" s="35"/>
      <c r="N31" s="36"/>
    </row>
    <row r="32" spans="1:14" x14ac:dyDescent="0.25">
      <c r="A32" s="8">
        <v>31.066544645951172</v>
      </c>
      <c r="B32" s="6">
        <v>31</v>
      </c>
      <c r="D32" s="6">
        <v>143</v>
      </c>
      <c r="E32" s="6">
        <v>52</v>
      </c>
      <c r="G32" s="37"/>
      <c r="H32" s="38"/>
      <c r="I32" s="38"/>
      <c r="J32" s="38"/>
      <c r="K32" s="38"/>
      <c r="L32" s="38"/>
      <c r="M32" s="38"/>
      <c r="N32" s="39"/>
    </row>
    <row r="33" spans="1:5" x14ac:dyDescent="0.25">
      <c r="A33" s="8">
        <v>31.066544645951172</v>
      </c>
      <c r="B33" s="6">
        <v>32</v>
      </c>
      <c r="D33" s="6">
        <v>144</v>
      </c>
      <c r="E33" s="6">
        <v>52</v>
      </c>
    </row>
    <row r="34" spans="1:5" x14ac:dyDescent="0.25">
      <c r="A34" s="8">
        <v>31.314181125101005</v>
      </c>
      <c r="B34" s="6">
        <v>33</v>
      </c>
      <c r="D34" s="6">
        <v>145</v>
      </c>
      <c r="E34" s="6">
        <v>52</v>
      </c>
    </row>
    <row r="35" spans="1:5" x14ac:dyDescent="0.25">
      <c r="A35" s="8">
        <v>31.484727041700335</v>
      </c>
      <c r="B35" s="6">
        <v>34</v>
      </c>
      <c r="D35" s="6">
        <v>146</v>
      </c>
      <c r="E35" s="6">
        <v>52</v>
      </c>
    </row>
    <row r="36" spans="1:5" x14ac:dyDescent="0.25">
      <c r="A36" s="8">
        <v>31.484727041700335</v>
      </c>
      <c r="B36" s="6">
        <v>35</v>
      </c>
      <c r="D36" s="6">
        <v>147</v>
      </c>
      <c r="E36" s="6">
        <v>53</v>
      </c>
    </row>
    <row r="37" spans="1:5" x14ac:dyDescent="0.25">
      <c r="A37" s="8">
        <v>31.561817604250837</v>
      </c>
      <c r="B37" s="6">
        <v>36</v>
      </c>
      <c r="D37" s="6">
        <v>148</v>
      </c>
      <c r="E37" s="6">
        <v>53</v>
      </c>
    </row>
    <row r="38" spans="1:5" x14ac:dyDescent="0.25">
      <c r="A38" s="8">
        <v>31.80945408340067</v>
      </c>
      <c r="B38" s="6">
        <v>37</v>
      </c>
      <c r="D38" s="6">
        <v>149</v>
      </c>
      <c r="E38" s="6">
        <v>53</v>
      </c>
    </row>
    <row r="39" spans="1:5" x14ac:dyDescent="0.25">
      <c r="A39" s="8">
        <v>31.80945408340067</v>
      </c>
      <c r="B39" s="6">
        <v>38</v>
      </c>
      <c r="D39" s="6">
        <v>150</v>
      </c>
      <c r="E39" s="6">
        <v>53</v>
      </c>
    </row>
    <row r="40" spans="1:5" x14ac:dyDescent="0.25">
      <c r="A40" s="8">
        <v>32</v>
      </c>
      <c r="B40" s="6">
        <v>39</v>
      </c>
      <c r="D40" s="6">
        <v>151</v>
      </c>
      <c r="E40" s="6">
        <v>53</v>
      </c>
    </row>
    <row r="41" spans="1:5" x14ac:dyDescent="0.25">
      <c r="A41" s="8">
        <v>32.629454083400667</v>
      </c>
      <c r="B41" s="6">
        <v>40</v>
      </c>
      <c r="D41" s="6">
        <v>152</v>
      </c>
      <c r="E41" s="6">
        <v>54</v>
      </c>
    </row>
    <row r="42" spans="1:5" x14ac:dyDescent="0.25">
      <c r="A42" s="8">
        <v>32.706544645951169</v>
      </c>
      <c r="B42" s="6">
        <v>41</v>
      </c>
      <c r="D42" s="6">
        <v>153</v>
      </c>
      <c r="E42" s="6">
        <v>54</v>
      </c>
    </row>
    <row r="43" spans="1:5" x14ac:dyDescent="0.25">
      <c r="A43" s="8">
        <v>32.706544645951169</v>
      </c>
      <c r="B43" s="6">
        <v>42</v>
      </c>
      <c r="D43" s="6">
        <v>154</v>
      </c>
      <c r="E43" s="6">
        <v>54</v>
      </c>
    </row>
    <row r="44" spans="1:5" x14ac:dyDescent="0.25">
      <c r="A44" s="8">
        <v>32.954181125101002</v>
      </c>
      <c r="B44" s="6">
        <v>43</v>
      </c>
      <c r="D44" s="6">
        <v>155</v>
      </c>
      <c r="E44" s="6">
        <v>54</v>
      </c>
    </row>
    <row r="45" spans="1:5" x14ac:dyDescent="0.25">
      <c r="A45" s="8">
        <v>33</v>
      </c>
      <c r="B45" s="6">
        <v>44</v>
      </c>
      <c r="D45" s="6">
        <v>156</v>
      </c>
      <c r="E45" s="6">
        <v>54</v>
      </c>
    </row>
    <row r="46" spans="1:5" x14ac:dyDescent="0.25">
      <c r="A46" s="8">
        <v>33</v>
      </c>
      <c r="B46" s="6">
        <v>45</v>
      </c>
      <c r="D46" s="6">
        <v>157</v>
      </c>
      <c r="E46" s="6">
        <v>55</v>
      </c>
    </row>
    <row r="47" spans="1:5" x14ac:dyDescent="0.25">
      <c r="A47" s="8">
        <v>33</v>
      </c>
      <c r="B47" s="6">
        <v>46</v>
      </c>
      <c r="D47" s="6">
        <v>158</v>
      </c>
      <c r="E47" s="6">
        <v>55</v>
      </c>
    </row>
    <row r="48" spans="1:5" x14ac:dyDescent="0.25">
      <c r="A48" s="8">
        <v>33</v>
      </c>
      <c r="B48" s="6">
        <v>47</v>
      </c>
      <c r="D48" s="6">
        <v>159</v>
      </c>
      <c r="E48" s="6">
        <v>55</v>
      </c>
    </row>
    <row r="49" spans="1:5" x14ac:dyDescent="0.25">
      <c r="A49" s="8">
        <v>33</v>
      </c>
      <c r="B49" s="6">
        <v>48</v>
      </c>
      <c r="D49" s="6">
        <v>160</v>
      </c>
      <c r="E49" s="17">
        <v>55</v>
      </c>
    </row>
    <row r="50" spans="1:5" x14ac:dyDescent="0.25">
      <c r="A50" s="8">
        <v>33</v>
      </c>
      <c r="B50" s="6">
        <v>49</v>
      </c>
      <c r="D50" s="4"/>
      <c r="E50" s="4"/>
    </row>
    <row r="51" spans="1:5" x14ac:dyDescent="0.25">
      <c r="A51" s="8">
        <v>33.526544645951169</v>
      </c>
      <c r="B51" s="6">
        <v>50</v>
      </c>
      <c r="D51" s="4"/>
      <c r="E51" s="4"/>
    </row>
    <row r="52" spans="1:5" x14ac:dyDescent="0.25">
      <c r="A52" s="8">
        <v>33.6970905625505</v>
      </c>
      <c r="B52" s="6">
        <v>51</v>
      </c>
      <c r="D52" s="4"/>
      <c r="E52" s="4"/>
    </row>
    <row r="53" spans="1:5" x14ac:dyDescent="0.25">
      <c r="A53" s="8">
        <v>33.944727041700332</v>
      </c>
      <c r="B53" s="6">
        <v>52</v>
      </c>
      <c r="D53" s="4"/>
      <c r="E53" s="4"/>
    </row>
    <row r="54" spans="1:5" x14ac:dyDescent="0.25">
      <c r="A54" s="8">
        <v>34</v>
      </c>
      <c r="B54" s="6">
        <v>53</v>
      </c>
      <c r="D54" s="4"/>
      <c r="E54" s="4"/>
    </row>
    <row r="55" spans="1:5" x14ac:dyDescent="0.25">
      <c r="A55" s="8">
        <v>34</v>
      </c>
      <c r="B55" s="6">
        <v>54</v>
      </c>
      <c r="D55" s="4"/>
      <c r="E55" s="4"/>
    </row>
    <row r="56" spans="1:5" x14ac:dyDescent="0.25">
      <c r="A56" s="8">
        <v>34</v>
      </c>
      <c r="B56" s="6">
        <v>55</v>
      </c>
      <c r="D56" s="4"/>
      <c r="E56" s="4"/>
    </row>
    <row r="57" spans="1:5" x14ac:dyDescent="0.25">
      <c r="A57" s="8">
        <v>34</v>
      </c>
      <c r="B57" s="6">
        <v>56</v>
      </c>
      <c r="D57" s="4"/>
      <c r="E57" s="4"/>
    </row>
    <row r="58" spans="1:5" x14ac:dyDescent="0.25">
      <c r="A58" s="8">
        <v>34.269454083400667</v>
      </c>
      <c r="B58" s="6">
        <v>57</v>
      </c>
      <c r="D58" s="4"/>
      <c r="E58" s="4"/>
    </row>
    <row r="59" spans="1:5" x14ac:dyDescent="0.25">
      <c r="A59" s="8">
        <v>34.34654464595117</v>
      </c>
      <c r="B59" s="6">
        <v>58</v>
      </c>
      <c r="D59" s="4"/>
      <c r="E59" s="4"/>
    </row>
    <row r="60" spans="1:5" x14ac:dyDescent="0.25">
      <c r="A60" s="8">
        <v>34.5170905625505</v>
      </c>
      <c r="B60" s="6">
        <v>59</v>
      </c>
      <c r="D60" s="4"/>
      <c r="E60" s="4"/>
    </row>
    <row r="61" spans="1:5" x14ac:dyDescent="0.25">
      <c r="A61" s="8">
        <v>34.5170905625505</v>
      </c>
      <c r="B61" s="6">
        <v>60</v>
      </c>
      <c r="D61" s="4"/>
      <c r="E61" s="4"/>
    </row>
    <row r="62" spans="1:5" x14ac:dyDescent="0.25">
      <c r="A62" s="8">
        <v>34.841817604250835</v>
      </c>
      <c r="B62" s="6">
        <v>61</v>
      </c>
      <c r="D62" s="4"/>
      <c r="E62" s="4"/>
    </row>
    <row r="63" spans="1:5" x14ac:dyDescent="0.25">
      <c r="A63" s="8">
        <v>35</v>
      </c>
      <c r="B63" s="6">
        <v>62</v>
      </c>
      <c r="D63" s="4"/>
      <c r="E63" s="4"/>
    </row>
    <row r="64" spans="1:5" x14ac:dyDescent="0.25">
      <c r="A64" s="8">
        <v>35</v>
      </c>
      <c r="B64" s="6">
        <v>63</v>
      </c>
      <c r="D64" s="4"/>
      <c r="E64" s="4"/>
    </row>
    <row r="65" spans="1:5" x14ac:dyDescent="0.25">
      <c r="A65" s="8">
        <v>35</v>
      </c>
      <c r="B65" s="6">
        <v>64</v>
      </c>
      <c r="D65" s="4"/>
      <c r="E65" s="4"/>
    </row>
    <row r="66" spans="1:5" x14ac:dyDescent="0.25">
      <c r="A66" s="8">
        <v>35.012363520850165</v>
      </c>
      <c r="B66" s="6">
        <v>65</v>
      </c>
      <c r="D66" s="4"/>
      <c r="E66" s="4"/>
    </row>
    <row r="67" spans="1:5" x14ac:dyDescent="0.25">
      <c r="A67" s="8">
        <v>35.3370905625505</v>
      </c>
      <c r="B67" s="6">
        <v>66</v>
      </c>
      <c r="D67" s="4"/>
      <c r="E67" s="4"/>
    </row>
    <row r="68" spans="1:5" x14ac:dyDescent="0.25">
      <c r="A68" s="8">
        <v>35.661817604250835</v>
      </c>
      <c r="B68" s="6">
        <v>67</v>
      </c>
      <c r="D68" s="4"/>
      <c r="E68" s="4"/>
    </row>
    <row r="69" spans="1:5" x14ac:dyDescent="0.25">
      <c r="A69" s="8">
        <v>36</v>
      </c>
      <c r="B69" s="6">
        <v>68</v>
      </c>
      <c r="D69" s="4"/>
      <c r="E69" s="4"/>
    </row>
    <row r="70" spans="1:5" x14ac:dyDescent="0.25">
      <c r="A70" s="8">
        <v>36</v>
      </c>
      <c r="B70" s="6">
        <v>69</v>
      </c>
      <c r="D70" s="4"/>
      <c r="E70" s="4"/>
    </row>
    <row r="71" spans="1:5" x14ac:dyDescent="0.25">
      <c r="A71" s="8">
        <v>36</v>
      </c>
      <c r="B71" s="6">
        <v>70</v>
      </c>
      <c r="D71" s="4"/>
      <c r="E71" s="4"/>
    </row>
    <row r="72" spans="1:5" x14ac:dyDescent="0.25">
      <c r="A72" s="8">
        <v>36</v>
      </c>
      <c r="B72" s="6">
        <v>71</v>
      </c>
      <c r="D72" s="4"/>
      <c r="E72" s="4"/>
    </row>
    <row r="73" spans="1:5" x14ac:dyDescent="0.25">
      <c r="A73" s="8">
        <v>36.729454083400668</v>
      </c>
      <c r="B73" s="6">
        <v>72</v>
      </c>
      <c r="D73" s="4"/>
      <c r="E73" s="4"/>
    </row>
    <row r="74" spans="1:5" x14ac:dyDescent="0.25">
      <c r="A74" s="8">
        <v>36.80654464595117</v>
      </c>
      <c r="B74" s="6">
        <v>73</v>
      </c>
      <c r="D74" s="4"/>
      <c r="E74" s="4"/>
    </row>
    <row r="75" spans="1:5" x14ac:dyDescent="0.25">
      <c r="A75" s="8">
        <v>37</v>
      </c>
      <c r="B75" s="6">
        <v>74</v>
      </c>
      <c r="D75" s="4"/>
      <c r="E75" s="4"/>
    </row>
    <row r="76" spans="1:5" x14ac:dyDescent="0.25">
      <c r="A76" s="8">
        <v>37</v>
      </c>
      <c r="B76" s="6">
        <v>75</v>
      </c>
      <c r="D76" s="4"/>
      <c r="E76" s="4"/>
    </row>
    <row r="77" spans="1:5" x14ac:dyDescent="0.25">
      <c r="A77" s="8">
        <v>37</v>
      </c>
      <c r="B77" s="6">
        <v>76</v>
      </c>
      <c r="D77" s="4"/>
      <c r="E77" s="4"/>
    </row>
    <row r="78" spans="1:5" x14ac:dyDescent="0.25">
      <c r="A78" s="8">
        <v>37</v>
      </c>
      <c r="B78" s="6">
        <v>77</v>
      </c>
      <c r="D78" s="4"/>
      <c r="E78" s="4"/>
    </row>
    <row r="79" spans="1:5" x14ac:dyDescent="0.25">
      <c r="A79" s="8">
        <v>38.044727041700334</v>
      </c>
      <c r="B79" s="6">
        <v>78</v>
      </c>
      <c r="D79" s="4"/>
      <c r="E79" s="4"/>
    </row>
    <row r="80" spans="1:5" x14ac:dyDescent="0.25">
      <c r="A80" s="8">
        <v>38.044727041700334</v>
      </c>
      <c r="B80" s="6">
        <v>79</v>
      </c>
      <c r="D80" s="4"/>
      <c r="E80" s="4"/>
    </row>
    <row r="81" spans="1:5" x14ac:dyDescent="0.25">
      <c r="A81" s="8">
        <v>38.446544645951171</v>
      </c>
      <c r="B81" s="6">
        <v>80</v>
      </c>
      <c r="D81" s="4"/>
      <c r="E81" s="4"/>
    </row>
    <row r="82" spans="1:5" x14ac:dyDescent="0.25">
      <c r="A82" s="8">
        <v>38.617090562550501</v>
      </c>
      <c r="B82" s="6">
        <v>81</v>
      </c>
      <c r="D82" s="4"/>
      <c r="E82" s="4"/>
    </row>
    <row r="83" spans="1:5" x14ac:dyDescent="0.25">
      <c r="A83" s="8">
        <v>38.941817604250836</v>
      </c>
      <c r="B83" s="6">
        <v>82</v>
      </c>
      <c r="D83" s="4"/>
      <c r="E83" s="4"/>
    </row>
    <row r="84" spans="1:5" x14ac:dyDescent="0.25">
      <c r="A84" s="8">
        <v>39</v>
      </c>
      <c r="B84" s="6">
        <v>83</v>
      </c>
      <c r="D84" s="4"/>
      <c r="E84" s="4"/>
    </row>
    <row r="85" spans="1:5" x14ac:dyDescent="0.25">
      <c r="A85" s="8">
        <v>39</v>
      </c>
      <c r="B85" s="6">
        <v>84</v>
      </c>
      <c r="D85" s="4"/>
      <c r="E85" s="4"/>
    </row>
    <row r="86" spans="1:5" x14ac:dyDescent="0.25">
      <c r="A86" s="8">
        <v>39</v>
      </c>
      <c r="B86" s="6">
        <v>85</v>
      </c>
      <c r="D86" s="4"/>
      <c r="E86" s="4"/>
    </row>
    <row r="87" spans="1:5" x14ac:dyDescent="0.25">
      <c r="A87" s="8">
        <v>39.684727041700334</v>
      </c>
      <c r="B87" s="6">
        <v>86</v>
      </c>
      <c r="D87" s="4"/>
      <c r="E87" s="4"/>
    </row>
    <row r="88" spans="1:5" x14ac:dyDescent="0.25">
      <c r="A88" s="8">
        <v>40</v>
      </c>
      <c r="B88" s="6">
        <v>87</v>
      </c>
      <c r="D88" s="4"/>
      <c r="E88" s="4"/>
    </row>
    <row r="89" spans="1:5" x14ac:dyDescent="0.25">
      <c r="A89" s="8">
        <v>40</v>
      </c>
      <c r="B89" s="6">
        <v>88</v>
      </c>
      <c r="D89" s="4"/>
      <c r="E89" s="4"/>
    </row>
    <row r="90" spans="1:5" x14ac:dyDescent="0.25">
      <c r="A90" s="8">
        <v>40</v>
      </c>
      <c r="B90" s="6">
        <v>89</v>
      </c>
      <c r="D90" s="4"/>
      <c r="E90" s="4"/>
    </row>
    <row r="91" spans="1:5" x14ac:dyDescent="0.25">
      <c r="A91" s="8">
        <v>40</v>
      </c>
      <c r="B91" s="6">
        <v>90</v>
      </c>
      <c r="D91" s="4"/>
      <c r="E91" s="4"/>
    </row>
    <row r="92" spans="1:5" x14ac:dyDescent="0.25">
      <c r="A92" s="8">
        <v>40</v>
      </c>
      <c r="B92" s="6">
        <v>91</v>
      </c>
      <c r="D92" s="4"/>
      <c r="E92" s="4"/>
    </row>
    <row r="93" spans="1:5" x14ac:dyDescent="0.25">
      <c r="A93" s="8">
        <v>40.086544645951172</v>
      </c>
      <c r="B93" s="6">
        <v>92</v>
      </c>
      <c r="D93" s="4"/>
      <c r="E93" s="4"/>
    </row>
    <row r="94" spans="1:5" x14ac:dyDescent="0.25">
      <c r="A94" s="8">
        <v>40.334181125101004</v>
      </c>
      <c r="B94" s="6">
        <v>93</v>
      </c>
      <c r="D94" s="4"/>
      <c r="E94" s="4"/>
    </row>
    <row r="95" spans="1:5" x14ac:dyDescent="0.25">
      <c r="A95" s="8">
        <v>41</v>
      </c>
      <c r="B95" s="6">
        <v>94</v>
      </c>
      <c r="D95" s="4"/>
      <c r="E95" s="4"/>
    </row>
    <row r="96" spans="1:5" x14ac:dyDescent="0.25">
      <c r="A96" s="8">
        <v>41.401817604250837</v>
      </c>
      <c r="B96" s="6">
        <v>95</v>
      </c>
      <c r="D96" s="4"/>
      <c r="E96" s="4"/>
    </row>
    <row r="97" spans="1:5" x14ac:dyDescent="0.25">
      <c r="A97" s="8">
        <v>42</v>
      </c>
      <c r="B97" s="6">
        <v>96</v>
      </c>
      <c r="D97" s="4"/>
      <c r="E97" s="4"/>
    </row>
    <row r="98" spans="1:5" x14ac:dyDescent="0.25">
      <c r="A98" s="8">
        <v>42</v>
      </c>
      <c r="B98" s="6">
        <v>97</v>
      </c>
      <c r="D98" s="4"/>
      <c r="E98" s="4"/>
    </row>
    <row r="99" spans="1:5" x14ac:dyDescent="0.25">
      <c r="A99" s="8">
        <v>42</v>
      </c>
      <c r="B99" s="6">
        <v>98</v>
      </c>
      <c r="D99" s="4"/>
      <c r="E99" s="4"/>
    </row>
    <row r="100" spans="1:5" x14ac:dyDescent="0.25">
      <c r="A100" s="8">
        <v>42.144727041700335</v>
      </c>
      <c r="B100" s="6">
        <v>99</v>
      </c>
      <c r="D100" s="4"/>
      <c r="E100" s="4"/>
    </row>
    <row r="101" spans="1:5" x14ac:dyDescent="0.25">
      <c r="A101" s="8">
        <v>43.041817604250838</v>
      </c>
      <c r="B101" s="6">
        <v>100</v>
      </c>
      <c r="D101" s="4"/>
      <c r="E101" s="4"/>
    </row>
    <row r="102" spans="1:5" x14ac:dyDescent="0.25">
      <c r="A102" s="8">
        <v>44</v>
      </c>
      <c r="B102" s="6">
        <v>101</v>
      </c>
      <c r="D102" s="4"/>
      <c r="E102" s="4"/>
    </row>
    <row r="103" spans="1:5" x14ac:dyDescent="0.25">
      <c r="A103" s="8">
        <v>44</v>
      </c>
      <c r="B103" s="6">
        <v>102</v>
      </c>
      <c r="D103" s="4"/>
      <c r="E103" s="4"/>
    </row>
    <row r="104" spans="1:5" x14ac:dyDescent="0.25">
      <c r="A104" s="8">
        <v>45</v>
      </c>
      <c r="B104" s="6">
        <v>103</v>
      </c>
      <c r="D104" s="4"/>
      <c r="E104" s="4"/>
    </row>
    <row r="105" spans="1:5" x14ac:dyDescent="0.25">
      <c r="A105" s="8">
        <v>45</v>
      </c>
      <c r="B105" s="6">
        <v>104</v>
      </c>
      <c r="D105" s="4"/>
      <c r="E105" s="4"/>
    </row>
    <row r="106" spans="1:5" x14ac:dyDescent="0.25">
      <c r="A106" s="8">
        <v>45</v>
      </c>
      <c r="B106" s="6">
        <v>105</v>
      </c>
      <c r="D106" s="4"/>
      <c r="E106" s="4"/>
    </row>
    <row r="107" spans="1:5" x14ac:dyDescent="0.25">
      <c r="A107" s="8">
        <v>45</v>
      </c>
      <c r="B107" s="6">
        <v>106</v>
      </c>
      <c r="D107" s="4"/>
      <c r="E107" s="4"/>
    </row>
    <row r="108" spans="1:5" x14ac:dyDescent="0.25">
      <c r="A108" s="8">
        <v>45.749454083400671</v>
      </c>
      <c r="B108" s="6">
        <v>107</v>
      </c>
      <c r="D108" s="4"/>
      <c r="E108" s="4"/>
    </row>
    <row r="109" spans="1:5" x14ac:dyDescent="0.25">
      <c r="A109" s="8">
        <v>47</v>
      </c>
      <c r="B109" s="6">
        <v>108</v>
      </c>
      <c r="D109" s="4"/>
      <c r="E109" s="4"/>
    </row>
    <row r="110" spans="1:5" x14ac:dyDescent="0.25">
      <c r="A110" s="8">
        <v>47</v>
      </c>
      <c r="B110" s="6">
        <v>109</v>
      </c>
      <c r="D110" s="4"/>
      <c r="E110" s="4"/>
    </row>
    <row r="111" spans="1:5" x14ac:dyDescent="0.25">
      <c r="A111" s="8">
        <v>49</v>
      </c>
      <c r="B111" s="6">
        <v>110</v>
      </c>
      <c r="D111" s="4"/>
      <c r="E111" s="4"/>
    </row>
    <row r="112" spans="1:5" x14ac:dyDescent="0.25">
      <c r="A112" s="8">
        <v>50</v>
      </c>
      <c r="B112" s="6">
        <v>111</v>
      </c>
      <c r="D112" s="4"/>
      <c r="E112" s="4"/>
    </row>
    <row r="113" spans="1:5" x14ac:dyDescent="0.25">
      <c r="A113" s="8">
        <v>53</v>
      </c>
      <c r="B113" s="6">
        <v>112</v>
      </c>
      <c r="D113" s="4"/>
      <c r="E113" s="4"/>
    </row>
    <row r="114" spans="1:5" s="4" customFormat="1" x14ac:dyDescent="0.25"/>
    <row r="115" spans="1:5" s="4" customFormat="1" x14ac:dyDescent="0.25"/>
    <row r="116" spans="1:5" s="4" customFormat="1" x14ac:dyDescent="0.25"/>
    <row r="117" spans="1:5" s="4" customFormat="1" x14ac:dyDescent="0.25"/>
    <row r="118" spans="1:5" s="4" customFormat="1" x14ac:dyDescent="0.25"/>
    <row r="119" spans="1:5" s="4" customFormat="1" x14ac:dyDescent="0.25"/>
    <row r="120" spans="1:5" s="4" customFormat="1" x14ac:dyDescent="0.25"/>
    <row r="121" spans="1:5" s="4" customFormat="1" x14ac:dyDescent="0.25"/>
    <row r="122" spans="1:5" s="4" customFormat="1" x14ac:dyDescent="0.25"/>
    <row r="123" spans="1:5" s="4" customFormat="1" x14ac:dyDescent="0.25"/>
    <row r="124" spans="1:5" s="4" customFormat="1" x14ac:dyDescent="0.25"/>
    <row r="125" spans="1:5" s="4" customFormat="1" x14ac:dyDescent="0.25"/>
    <row r="126" spans="1:5" s="4" customFormat="1" x14ac:dyDescent="0.25"/>
    <row r="127" spans="1:5" s="4" customFormat="1" x14ac:dyDescent="0.25"/>
    <row r="128" spans="1:5" s="4" customFormat="1" x14ac:dyDescent="0.25"/>
    <row r="129" s="4" customFormat="1" x14ac:dyDescent="0.25"/>
    <row r="130" s="4" customFormat="1" x14ac:dyDescent="0.25"/>
    <row r="131" s="4" customFormat="1" x14ac:dyDescent="0.25"/>
    <row r="132" s="4" customFormat="1" x14ac:dyDescent="0.25"/>
    <row r="133" s="4" customFormat="1" x14ac:dyDescent="0.25"/>
    <row r="134" s="4" customFormat="1" x14ac:dyDescent="0.25"/>
    <row r="135" s="4" customFormat="1" x14ac:dyDescent="0.25"/>
    <row r="136" s="4" customFormat="1" x14ac:dyDescent="0.25"/>
    <row r="137" s="4" customFormat="1" x14ac:dyDescent="0.25"/>
    <row r="138" s="4" customFormat="1" x14ac:dyDescent="0.25"/>
    <row r="139" s="4" customFormat="1" x14ac:dyDescent="0.25"/>
    <row r="140" s="4" customFormat="1" x14ac:dyDescent="0.25"/>
    <row r="141" s="4" customFormat="1" x14ac:dyDescent="0.25"/>
    <row r="142" s="4" customFormat="1" x14ac:dyDescent="0.25"/>
    <row r="143" s="4" customFormat="1" x14ac:dyDescent="0.25"/>
    <row r="144" s="4" customFormat="1" x14ac:dyDescent="0.25"/>
    <row r="145" s="4" customFormat="1" x14ac:dyDescent="0.25"/>
    <row r="146" s="4" customFormat="1" x14ac:dyDescent="0.25"/>
    <row r="147" s="4" customFormat="1" x14ac:dyDescent="0.25"/>
    <row r="148" s="4" customFormat="1" x14ac:dyDescent="0.25"/>
    <row r="149" s="4" customFormat="1" x14ac:dyDescent="0.25"/>
    <row r="150" s="4" customFormat="1" x14ac:dyDescent="0.25"/>
    <row r="151" s="4" customFormat="1" x14ac:dyDescent="0.25"/>
    <row r="152" s="4" customFormat="1" x14ac:dyDescent="0.25"/>
    <row r="153" s="4" customFormat="1" x14ac:dyDescent="0.25"/>
    <row r="154" s="4" customFormat="1" x14ac:dyDescent="0.25"/>
    <row r="155" s="4" customFormat="1" x14ac:dyDescent="0.25"/>
    <row r="156" s="4" customFormat="1" x14ac:dyDescent="0.25"/>
    <row r="157" s="4" customFormat="1" x14ac:dyDescent="0.25"/>
    <row r="158" s="4" customFormat="1" x14ac:dyDescent="0.25"/>
    <row r="159" s="4" customFormat="1" x14ac:dyDescent="0.25"/>
    <row r="160" s="4" customFormat="1" x14ac:dyDescent="0.25"/>
    <row r="161" s="4" customFormat="1" x14ac:dyDescent="0.25"/>
    <row r="162" s="4" customFormat="1" x14ac:dyDescent="0.25"/>
    <row r="163" s="4" customFormat="1" x14ac:dyDescent="0.25"/>
    <row r="164" s="4" customFormat="1" x14ac:dyDescent="0.25"/>
    <row r="165" s="4" customFormat="1" x14ac:dyDescent="0.25"/>
    <row r="166" s="4" customFormat="1" x14ac:dyDescent="0.25"/>
    <row r="167" s="4" customFormat="1" x14ac:dyDescent="0.25"/>
    <row r="168" s="4" customFormat="1" x14ac:dyDescent="0.25"/>
    <row r="169" s="4" customFormat="1" x14ac:dyDescent="0.25"/>
    <row r="170" s="4" customFormat="1" x14ac:dyDescent="0.25"/>
    <row r="171" s="4" customFormat="1" x14ac:dyDescent="0.25"/>
    <row r="172" s="4" customFormat="1" x14ac:dyDescent="0.25"/>
    <row r="173" s="4" customFormat="1" x14ac:dyDescent="0.25"/>
    <row r="174" s="4" customFormat="1" x14ac:dyDescent="0.25"/>
    <row r="175" s="4" customFormat="1" x14ac:dyDescent="0.25"/>
    <row r="176" s="4" customFormat="1" x14ac:dyDescent="0.25"/>
    <row r="177" s="4" customFormat="1" x14ac:dyDescent="0.25"/>
    <row r="178" s="4" customFormat="1" x14ac:dyDescent="0.25"/>
    <row r="179" s="4" customFormat="1" x14ac:dyDescent="0.25"/>
    <row r="180" s="4" customFormat="1" x14ac:dyDescent="0.25"/>
    <row r="181" s="4" customFormat="1" x14ac:dyDescent="0.25"/>
    <row r="182" s="4" customFormat="1" x14ac:dyDescent="0.25"/>
  </sheetData>
  <sortState xmlns:xlrd2="http://schemas.microsoft.com/office/spreadsheetml/2017/richdata2" ref="A2:A113">
    <sortCondition ref="A2:A113"/>
  </sortState>
  <mergeCells count="1">
    <mergeCell ref="G18:N3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Parameters</vt:lpstr>
      <vt:lpstr>Data</vt:lpstr>
      <vt:lpstr>Sample</vt:lpstr>
      <vt:lpstr>Statistical insight</vt:lpstr>
      <vt:lpstr>(Un)correlated variables</vt:lpstr>
      <vt:lpstr>Linear regression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255</dc:creator>
  <cp:lastModifiedBy>Hp 255</cp:lastModifiedBy>
  <dcterms:created xsi:type="dcterms:W3CDTF">2023-10-17T10:23:45Z</dcterms:created>
  <dcterms:modified xsi:type="dcterms:W3CDTF">2023-10-20T09:18:38Z</dcterms:modified>
</cp:coreProperties>
</file>